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b9070a93498463f" /></Relationships>
</file>

<file path=xl/workbook.xml><?xml version="1.0" encoding="utf-8"?>
<x:workbook xmlns:x="http://schemas.openxmlformats.org/spreadsheetml/2006/main">
  <x:sheets>
    <x:sheet xmlns:r="http://schemas.openxmlformats.org/officeDocument/2006/relationships" name="Overview" sheetId="1" r:id="Re8b0500f9d7b4a14"/>
    <x:sheet xmlns:r="http://schemas.openxmlformats.org/officeDocument/2006/relationships" name="All Posts" sheetId="2" r:id="R6e298fc53f4b493b"/>
    <x:sheet xmlns:r="http://schemas.openxmlformats.org/officeDocument/2006/relationships" name="Relevant Posts" sheetId="3" r:id="R4d5d38f528de48e3"/>
    <x:sheet xmlns:r="http://schemas.openxmlformats.org/officeDocument/2006/relationships" name="Priority Review" sheetId="4" r:id="R4e1f560fe8b14096"/>
    <x:sheet xmlns:r="http://schemas.openxmlformats.org/officeDocument/2006/relationships" name="Separate-Exclude" sheetId="5" r:id="Rb963fa94aed94bfc"/>
    <x:sheet xmlns:r="http://schemas.openxmlformats.org/officeDocument/2006/relationships" name="Pulled Comments" sheetId="6" r:id="Re5cb0ee33ca24f66"/>
    <x:sheet xmlns:r="http://schemas.openxmlformats.org/officeDocument/2006/relationships" name="Query Dictionary" sheetId="7" r:id="R79decfbbde9e47fa"/>
    <x:sheet xmlns:r="http://schemas.openxmlformats.org/officeDocument/2006/relationships" name="Method" sheetId="8" r:id="Re3652e0f3a46492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0000"/>
    <x:numFmt numFmtId="203" formatCode="$#,##0.00"/>
  </x:numFmts>
  <x:fonts count="6">
    <x:font>
      <x:sz val="11"/>
      <x:name val="Carlito"/>
    </x:font>
    <x:font>
      <x:b/>
      <x:sz val="11"/>
      <x:color rgb="FFFFFFFF"/>
      <x:name val="Carlito"/>
    </x:font>
    <x:font>
      <x:sz val="11"/>
      <x:color rgb="FF14213D"/>
      <x:name val="Carlito"/>
    </x:font>
    <x:font>
      <x:b/>
      <x:sz val="11"/>
      <x:color rgb="FF14213D"/>
      <x:name val="Carlito"/>
    </x:font>
    <x:font>
      <x:b/>
      <x:sz val="11"/>
      <x:color rgb="FF1D4ED8"/>
      <x:name val="Carlito"/>
    </x:font>
    <x:font>
      <x:b/>
      <x:sz val="11"/>
      <x:color rgb="FF15803D"/>
      <x:name val="Carlito"/>
    </x:font>
  </x:fonts>
  <x:fills count="8">
    <x:fill>
      <x:patternFill patternType="none"/>
    </x:fill>
    <x:fill>
      <x:patternFill patternType="gray125"/>
    </x:fill>
    <x:fill>
      <x:patternFill patternType="solid">
        <x:fgColor rgb="FF14213D"/>
      </x:patternFill>
    </x:fill>
    <x:fill>
      <x:patternFill patternType="solid">
        <x:fgColor rgb="FFFFF7D6"/>
      </x:patternFill>
    </x:fill>
    <x:fill>
      <x:patternFill patternType="solid">
        <x:fgColor rgb="FFDBEAFE"/>
      </x:patternFill>
    </x:fill>
    <x:fill>
      <x:patternFill patternType="solid">
        <x:fgColor rgb="FFF1F5F9"/>
      </x:patternFill>
    </x:fill>
    <x:fill>
      <x:patternFill patternType="solid">
        <x:fgColor rgb="FFF8FAFC"/>
      </x:patternFill>
    </x:fill>
    <x:fill>
      <x:patternFill patternType="solid">
        <x:fgColor rgb="FFDCFCE7"/>
      </x:patternFill>
    </x:fill>
  </x:fills>
  <x:borders count="25">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right style="thin">
        <x:color rgb="FFCBD5E1"/>
      </x:right>
      <x:top style="thin">
        <x:color rgb="FFCBD5E1"/>
      </x:top>
      <x:bottom style="thin">
        <x:color rgb="FFCBD5E1"/>
      </x:bottom>
    </x:border>
    <x:border>
      <x:left style="thin">
        <x:color rgb="FFCBD5E1"/>
      </x:left>
      <x:right style="thin">
        <x:color rgb="FFCBD5E1"/>
      </x:right>
      <x:top style="thin">
        <x:color rgb="FFCBD5E1"/>
      </x:top>
      <x:bottom style="thin">
        <x:color rgb="FFCBD5E1"/>
      </x:bottom>
    </x:border>
    <x:border>
      <x:left style="thin">
        <x:color rgb="FFCBD5E1"/>
      </x:lef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
      <x:top style="thin">
        <x:color rgb="FFCBD5E1"/>
      </x:top>
    </x:border>
    <x:border>
      <x:left style="medium">
        <x:color rgb="FFCBD5E1"/>
      </x:left>
      <x:top style="medium">
        <x:color rgb="FFCBD5E1"/>
      </x:top>
    </x:border>
    <x:border>
      <x:right style="medium">
        <x:color rgb="FFCBD5E1"/>
      </x:right>
      <x:top style="medium">
        <x:color rgb="FFCBD5E1"/>
      </x:top>
    </x:border>
    <x:border>
      <x:left style="medium">
        <x:color rgb="FFCBD5E1"/>
      </x:left>
    </x:border>
    <x:border>
      <x:right style="medium">
        <x:color rgb="FFCBD5E1"/>
      </x:right>
    </x:border>
    <x:border>
      <x:left style="medium">
        <x:color rgb="FFCBD5E1"/>
      </x:left>
      <x:bottom style="medium">
        <x:color rgb="FFCBD5E1"/>
      </x:bottom>
    </x:border>
    <x:border>
      <x:right style="medium">
        <x:color rgb="FFCBD5E1"/>
      </x:right>
      <x:bottom style="medium">
        <x:color rgb="FFCBD5E1"/>
      </x:bottom>
    </x:border>
    <x:border>
      <x:left style="medium">
        <x:color rgb="FF15803D"/>
      </x:left>
      <x:top style="medium">
        <x:color rgb="FF15803D"/>
      </x:top>
    </x:border>
    <x:border>
      <x:top style="medium">
        <x:color rgb="FF15803D"/>
      </x:top>
    </x:border>
    <x:border>
      <x:right style="medium">
        <x:color rgb="FF15803D"/>
      </x:right>
      <x:top style="medium">
        <x:color rgb="FF15803D"/>
      </x:top>
    </x:border>
    <x:border>
      <x:left style="medium">
        <x:color rgb="FF15803D"/>
      </x:left>
    </x:border>
    <x:border>
      <x:right style="medium">
        <x:color rgb="FF15803D"/>
      </x:right>
    </x:border>
    <x:border>
      <x:left style="medium">
        <x:color rgb="FF15803D"/>
      </x:left>
      <x:bottom style="medium">
        <x:color rgb="FF15803D"/>
      </x:bottom>
    </x:border>
    <x:border>
      <x:bottom style="medium">
        <x:color rgb="FF15803D"/>
      </x:bottom>
    </x:border>
    <x:border>
      <x:right style="medium">
        <x:color rgb="FF15803D"/>
      </x:right>
      <x:bottom style="medium">
        <x:color rgb="FF15803D"/>
      </x:bottom>
    </x:border>
  </x:borders>
  <x:cellStyleXfs count="1">
    <x:xf numFmtId="0" fontId="0" fillId="0" borderId="0"/>
  </x:cellStyleXfs>
  <x:cellXfs count="17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4" xfId="0" applyNumberFormat="1" applyFont="1" applyFill="1" applyBorder="1" applyAlignment="1">
      <x:alignment vertical="top"/>
    </x:xf>
    <x:xf numFmtId="0" fontId="0" fillId="0" borderId="5" xfId="0" applyNumberFormat="1" applyFont="1" applyFill="1" applyBorder="1" applyAlignment="1">
      <x:alignment vertical="top"/>
    </x:xf>
    <x:xf numFmtId="0" fontId="0" fillId="0" borderId="6" xfId="0" applyNumberFormat="1" applyFont="1" applyFill="1" applyBorder="1" applyAlignment="1">
      <x:alignment vertical="top"/>
    </x:xf>
    <x:xf numFmtId="0" fontId="0" fillId="0" borderId="7" xfId="0" applyNumberFormat="1" applyFont="1" applyFill="1" applyBorder="1" applyAlignment="1">
      <x:alignment vertical="top"/>
    </x:xf>
    <x:xf numFmtId="0" fontId="0" fillId="0" borderId="8" xfId="0" applyNumberFormat="1" applyFont="1" applyFill="1" applyBorder="1" applyAlignment="1">
      <x:alignment vertical="top"/>
    </x:xf>
    <x:xf numFmtId="0" fontId="0" fillId="0" borderId="9"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5" xfId="0" applyNumberFormat="1" applyFont="1" applyFill="1" applyBorder="1" applyAlignment="1">
      <x:alignment vertical="top"/>
    </x:xf>
    <x:xf numFmtId="200" fontId="0" fillId="0" borderId="8" xfId="0" applyNumberFormat="1" applyFont="1" applyFill="1" applyBorder="1" applyAlignment="1">
      <x:alignment vertical="top"/>
    </x:xf>
    <x:xf numFmtId="0" fontId="0" fillId="0" borderId="2"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9" xfId="0" applyNumberFormat="1" applyFont="1" applyFill="1" applyBorder="1" applyAlignment="1">
      <x:alignment vertical="top" wrapText="1"/>
    </x:xf>
    <x:xf numFmtId="201" fontId="0" fillId="0" borderId="2" xfId="0" applyNumberFormat="1" applyFont="1" applyFill="1" applyBorder="1" applyAlignment="1">
      <x:alignment vertical="top"/>
    </x:xf>
    <x:xf numFmtId="201" fontId="0" fillId="0" borderId="5" xfId="0" applyNumberFormat="1" applyFont="1" applyFill="1" applyBorder="1" applyAlignment="1">
      <x:alignment vertical="top"/>
    </x:xf>
    <x:xf numFmtId="201" fontId="0" fillId="0" borderId="8" xfId="0" applyNumberFormat="1" applyFont="1" applyFill="1" applyBorder="1" applyAlignment="1">
      <x:alignment vertical="top"/>
    </x:xf>
    <x:xf numFmtId="0" fontId="0" fillId="3" borderId="2" xfId="0" applyNumberFormat="1" applyFont="1" applyFill="1" applyBorder="1" applyAlignment="1">
      <x:alignment vertical="top"/>
    </x:xf>
    <x:xf numFmtId="0" fontId="0" fillId="3" borderId="3" xfId="0" applyNumberFormat="1" applyFont="1" applyFill="1" applyBorder="1" applyAlignment="1">
      <x:alignment vertical="top"/>
    </x:xf>
    <x:xf numFmtId="0" fontId="0" fillId="3" borderId="5" xfId="0" applyNumberFormat="1" applyFont="1" applyFill="1" applyBorder="1" applyAlignment="1">
      <x:alignment vertical="top"/>
    </x:xf>
    <x:xf numFmtId="0" fontId="0" fillId="3" borderId="6" xfId="0" applyNumberFormat="1" applyFont="1" applyFill="1" applyBorder="1" applyAlignment="1">
      <x:alignment vertical="top"/>
    </x:xf>
    <x:xf numFmtId="0" fontId="0" fillId="3" borderId="8" xfId="0" applyNumberFormat="1" applyFont="1" applyFill="1" applyBorder="1" applyAlignment="1">
      <x:alignment vertical="top"/>
    </x:xf>
    <x:xf numFmtId="0" fontId="0" fillId="3" borderId="9" xfId="0" applyNumberFormat="1" applyFont="1" applyFill="1" applyBorder="1" applyAlignment="1">
      <x:alignment vertical="top"/>
    </x:xf>
    <x:xf numFmtId="200" fontId="0" fillId="0" borderId="2" xfId="0" applyNumberFormat="1" applyFont="1" applyFill="1" applyBorder="1" applyAlignment="1">
      <x:alignment vertical="top" wrapText="1"/>
    </x:xf>
    <x:xf numFmtId="200" fontId="0" fillId="0" borderId="5" xfId="0" applyNumberFormat="1" applyFont="1" applyFill="1" applyBorder="1" applyAlignment="1">
      <x:alignment vertical="top" wrapText="1"/>
    </x:xf>
    <x:xf numFmtId="200" fontId="0" fillId="0" borderId="8"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2" fillId="4" borderId="0" xfId="0" applyNumberFormat="1" applyFont="1" applyFill="1" applyBorder="1" applyAlignment="1">
      <x:alignment vertical="center" wrapText="1"/>
    </x:xf>
    <x:xf numFmtId="0" fontId="3" fillId="4" borderId="0" xfId="0" applyNumberFormat="1" applyFont="1" applyFill="1" applyBorder="1"/>
    <x:xf numFmtId="0" fontId="3" fillId="4" borderId="0" xfId="0" applyNumberFormat="1" applyFont="1" applyFill="1" applyBorder="1" applyAlignment="1">
      <x:alignment vertical="center"/>
    </x:xf>
    <x:xf numFmtId="0" fontId="1" fillId="2" borderId="0" xfId="0" applyNumberFormat="1" applyFont="1" applyFill="1" applyBorder="1" applyAlignment="1">
      <x:alignment horizontal="center"/>
    </x:xf>
    <x:xf numFmtId="0" fontId="3" fillId="0" borderId="0" xfId="0" applyNumberFormat="1" applyFont="1" applyFill="1" applyBorder="1"/>
    <x:xf numFmtId="0" fontId="0" fillId="0" borderId="0" xfId="0" applyNumberFormat="1" applyFont="1" applyFill="1" applyBorder="1" applyAlignment="1">
      <x:alignment wrapText="1"/>
    </x:xf>
    <x:xf numFmtId="0" fontId="0" fillId="0" borderId="10" xfId="0" applyNumberFormat="1" applyFont="1" applyFill="1" applyBorder="1"/>
    <x:xf numFmtId="0" fontId="3" fillId="0" borderId="10" xfId="0" applyNumberFormat="1" applyFont="1" applyFill="1" applyBorder="1"/>
    <x:xf numFmtId="0" fontId="0" fillId="0" borderId="10" xfId="0" applyNumberFormat="1" applyFont="1" applyFill="1" applyBorder="1" applyAlignment="1">
      <x:alignment wrapText="1"/>
    </x:xf>
    <x:xf numFmtId="0" fontId="0" fillId="3" borderId="0" xfId="0" applyNumberFormat="1" applyFont="1" applyFill="1" applyBorder="1"/>
    <x:xf numFmtId="202" fontId="0" fillId="3" borderId="0" xfId="0" applyNumberFormat="1" applyFont="1" applyFill="1" applyBorder="1"/>
    <x:xf numFmtId="0" fontId="1" fillId="2" borderId="1" xfId="0" applyNumberFormat="1" applyFont="1" applyFill="1" applyBorder="1" applyAlignment="1">
      <x:alignment vertical="center"/>
    </x:xf>
    <x:xf numFmtId="0" fontId="1" fillId="2" borderId="2" xfId="0" applyNumberFormat="1" applyFont="1" applyFill="1" applyBorder="1" applyAlignment="1">
      <x:alignment vertical="center"/>
    </x:xf>
    <x:xf numFmtId="0" fontId="1" fillId="2" borderId="3" xfId="0" applyNumberFormat="1" applyFont="1" applyFill="1" applyBorder="1" applyAlignment="1">
      <x:alignment vertical="center"/>
    </x:xf>
    <x:xf numFmtId="0" fontId="1" fillId="2" borderId="4" xfId="0" applyNumberFormat="1" applyFont="1" applyFill="1" applyBorder="1" applyAlignment="1">
      <x:alignment vertical="center"/>
    </x:xf>
    <x:xf numFmtId="0" fontId="1" fillId="2" borderId="5" xfId="0" applyNumberFormat="1" applyFont="1" applyFill="1" applyBorder="1" applyAlignment="1">
      <x:alignment vertical="center"/>
    </x:xf>
    <x:xf numFmtId="0" fontId="1" fillId="2" borderId="6" xfId="0" applyNumberFormat="1" applyFont="1" applyFill="1" applyBorder="1" applyAlignment="1">
      <x:alignment vertical="center"/>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2" fillId="4" borderId="4" xfId="0" applyNumberFormat="1" applyFont="1" applyFill="1" applyBorder="1" applyAlignment="1">
      <x:alignment vertical="center" wrapText="1"/>
    </x:xf>
    <x:xf numFmtId="0" fontId="2" fillId="4" borderId="5" xfId="0" applyNumberFormat="1" applyFont="1" applyFill="1" applyBorder="1" applyAlignment="1">
      <x:alignment vertical="center" wrapText="1"/>
    </x:xf>
    <x:xf numFmtId="0" fontId="2" fillId="4" borderId="6" xfId="0" applyNumberFormat="1" applyFont="1" applyFill="1" applyBorder="1" applyAlignment="1">
      <x:alignment vertical="center" wrapText="1"/>
    </x:xf>
    <x:xf numFmtId="0" fontId="3" fillId="4" borderId="4" xfId="0" applyNumberFormat="1" applyFont="1" applyFill="1" applyBorder="1" applyAlignment="1">
      <x:alignment vertical="center"/>
    </x:xf>
    <x:xf numFmtId="0" fontId="3" fillId="4" borderId="5" xfId="0" applyNumberFormat="1" applyFont="1" applyFill="1" applyBorder="1" applyAlignment="1">
      <x:alignment vertical="center"/>
    </x:xf>
    <x:xf numFmtId="0" fontId="3" fillId="4" borderId="6" xfId="0" applyNumberFormat="1" applyFont="1" applyFill="1" applyBorder="1" applyAlignment="1">
      <x:alignment vertical="center"/>
    </x:xf>
    <x:xf numFmtId="0" fontId="1" fillId="2" borderId="4" xfId="0" applyNumberFormat="1" applyFont="1" applyFill="1" applyBorder="1" applyAlignment="1">
      <x:alignment horizontal="center"/>
    </x:xf>
    <x:xf numFmtId="0" fontId="3" fillId="0" borderId="5" xfId="0" applyNumberFormat="1" applyFont="1" applyFill="1" applyBorder="1"/>
    <x:xf numFmtId="0" fontId="0" fillId="0" borderId="5" xfId="0" applyNumberFormat="1" applyFont="1" applyFill="1" applyBorder="1" applyAlignment="1">
      <x:alignment wrapText="1"/>
    </x:xf>
    <x:xf numFmtId="0" fontId="3" fillId="0" borderId="4" xfId="0" applyNumberFormat="1" applyFont="1" applyFill="1" applyBorder="1"/>
    <x:xf numFmtId="0" fontId="0" fillId="3" borderId="5" xfId="0" applyNumberFormat="1" applyFont="1" applyFill="1" applyBorder="1"/>
    <x:xf numFmtId="202" fontId="0" fillId="3" borderId="5" xfId="0" applyNumberFormat="1" applyFont="1" applyFill="1" applyBorder="1"/>
    <x:xf numFmtId="0" fontId="3" fillId="0" borderId="7" xfId="0" applyNumberFormat="1" applyFont="1" applyFill="1" applyBorder="1"/>
    <x:xf numFmtId="0" fontId="0" fillId="3" borderId="8" xfId="0" applyNumberFormat="1" applyFont="1" applyFill="1" applyBorder="1"/>
    <x:xf numFmtId="0" fontId="0" fillId="0" borderId="8" xfId="0" applyNumberFormat="1" applyFont="1" applyFill="1" applyBorder="1" applyAlignment="1">
      <x:alignment wrapText="1"/>
    </x:xf>
    <x:xf numFmtId="0" fontId="0" fillId="0" borderId="8" xfId="0" applyNumberFormat="1" applyFont="1" applyFill="1" applyBorder="1"/>
    <x:xf numFmtId="0" fontId="0" fillId="0" borderId="9"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11" xfId="0" applyNumberFormat="1" applyFont="1" applyFill="1" applyBorder="1"/>
    <x:xf numFmtId="0" fontId="3" fillId="5" borderId="12" xfId="0" applyNumberFormat="1" applyFont="1" applyFill="1" applyBorder="1"/>
    <x:xf numFmtId="0" fontId="3" fillId="5" borderId="13" xfId="0" applyNumberFormat="1" applyFont="1" applyFill="1" applyBorder="1"/>
    <x:xf numFmtId="0" fontId="3" fillId="5" borderId="14" xfId="0" applyNumberFormat="1" applyFont="1" applyFill="1" applyBorder="1"/>
    <x:xf numFmtId="0" fontId="3" fillId="5" borderId="15" xfId="0" applyNumberFormat="1" applyFont="1" applyFill="1" applyBorder="1"/>
    <x:xf numFmtId="0" fontId="3" fillId="5" borderId="16" xfId="0" applyNumberFormat="1" applyFont="1" applyFill="1" applyBorder="1"/>
    <x:xf numFmtId="0" fontId="3" fillId="5" borderId="11" xfId="0" applyNumberFormat="1" applyFont="1" applyFill="1" applyBorder="1" applyAlignment="1">
      <x:alignment horizontal="center"/>
    </x:xf>
    <x:xf numFmtId="0" fontId="3" fillId="5" borderId="12" xfId="0" applyNumberFormat="1" applyFont="1" applyFill="1" applyBorder="1" applyAlignment="1">
      <x:alignment horizontal="center"/>
    </x:xf>
    <x:xf numFmtId="0" fontId="3" fillId="5" borderId="13" xfId="0" applyNumberFormat="1" applyFont="1" applyFill="1" applyBorder="1" applyAlignment="1">
      <x:alignment horizontal="center"/>
    </x:xf>
    <x:xf numFmtId="0" fontId="3" fillId="5" borderId="14" xfId="0" applyNumberFormat="1" applyFont="1" applyFill="1" applyBorder="1" applyAlignment="1">
      <x:alignment horizontal="center"/>
    </x:xf>
    <x:xf numFmtId="0" fontId="3" fillId="5" borderId="15" xfId="0" applyNumberFormat="1" applyFont="1" applyFill="1" applyBorder="1" applyAlignment="1">
      <x:alignment horizontal="center"/>
    </x:xf>
    <x:xf numFmtId="0" fontId="3" fillId="5" borderId="16" xfId="0" applyNumberFormat="1" applyFont="1" applyFill="1" applyBorder="1" applyAlignment="1">
      <x:alignment horizontal="center"/>
    </x:xf>
    <x:xf numFmtId="0" fontId="3" fillId="5" borderId="11" xfId="0" applyNumberFormat="1" applyFont="1" applyFill="1" applyBorder="1" applyAlignment="1">
      <x:alignment horizontal="center" vertical="center"/>
    </x:xf>
    <x:xf numFmtId="0" fontId="3" fillId="5" borderId="12" xfId="0" applyNumberFormat="1" applyFont="1" applyFill="1" applyBorder="1" applyAlignment="1">
      <x:alignment horizontal="center" vertical="center"/>
    </x:xf>
    <x:xf numFmtId="0" fontId="3" fillId="5" borderId="13" xfId="0" applyNumberFormat="1" applyFont="1" applyFill="1" applyBorder="1" applyAlignment="1">
      <x:alignment horizontal="center" vertical="center"/>
    </x:xf>
    <x:xf numFmtId="0" fontId="3" fillId="5" borderId="14" xfId="0" applyNumberFormat="1" applyFont="1" applyFill="1" applyBorder="1" applyAlignment="1">
      <x:alignment horizontal="center" vertical="center"/>
    </x:xf>
    <x:xf numFmtId="0" fontId="3" fillId="5" borderId="15" xfId="0" applyNumberFormat="1" applyFont="1" applyFill="1" applyBorder="1" applyAlignment="1">
      <x:alignment horizontal="center" vertical="center"/>
    </x:xf>
    <x:xf numFmtId="0" fontId="3" fillId="5" borderId="16" xfId="0" applyNumberFormat="1" applyFont="1" applyFill="1" applyBorder="1" applyAlignment="1">
      <x:alignment horizontal="center" vertical="center"/>
    </x:xf>
    <x:xf numFmtId="0" fontId="4" fillId="5" borderId="13" xfId="0" applyNumberFormat="1" applyFont="1" applyFill="1" applyBorder="1" applyAlignment="1">
      <x:alignment horizontal="center" vertical="center"/>
    </x:xf>
    <x:xf numFmtId="0" fontId="4" fillId="5" borderId="14" xfId="0" applyNumberFormat="1" applyFont="1" applyFill="1" applyBorder="1" applyAlignment="1">
      <x:alignment horizontal="center" vertical="center"/>
    </x:xf>
    <x:xf numFmtId="0" fontId="4" fillId="5" borderId="15" xfId="0" applyNumberFormat="1" applyFont="1" applyFill="1" applyBorder="1" applyAlignment="1">
      <x:alignment horizontal="center" vertical="center"/>
    </x:xf>
    <x:xf numFmtId="0" fontId="4" fillId="5" borderId="16" xfId="0" applyNumberFormat="1" applyFont="1" applyFill="1" applyBorder="1" applyAlignment="1">
      <x:alignment horizontal="center" vertical="center"/>
    </x:xf>
    <x:xf numFmtId="201" fontId="4" fillId="5" borderId="13" xfId="0" applyNumberFormat="1" applyFont="1" applyFill="1" applyBorder="1" applyAlignment="1">
      <x:alignment horizontal="center" vertical="center"/>
    </x:xf>
    <x:xf numFmtId="201" fontId="4" fillId="5" borderId="14" xfId="0" applyNumberFormat="1" applyFont="1" applyFill="1" applyBorder="1" applyAlignment="1">
      <x:alignment horizontal="center" vertical="center"/>
    </x:xf>
    <x:xf numFmtId="201" fontId="4" fillId="5" borderId="15" xfId="0" applyNumberFormat="1" applyFont="1" applyFill="1" applyBorder="1" applyAlignment="1">
      <x:alignment horizontal="center" vertical="center"/>
    </x:xf>
    <x:xf numFmtId="201" fontId="4" fillId="5" borderId="16" xfId="0" applyNumberFormat="1" applyFont="1" applyFill="1" applyBorder="1" applyAlignment="1">
      <x:alignment horizontal="center" vertical="center"/>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7" xfId="0" applyNumberFormat="1" applyFont="1" applyFill="1" applyBorder="1"/>
    <x:xf numFmtId="201" fontId="0" fillId="0" borderId="2" xfId="0" applyNumberFormat="1" applyFont="1" applyFill="1" applyBorder="1"/>
    <x:xf numFmtId="201" fontId="0" fillId="0" borderId="3" xfId="0" applyNumberFormat="1" applyFont="1" applyFill="1" applyBorder="1"/>
    <x:xf numFmtId="201" fontId="0" fillId="0" borderId="5" xfId="0" applyNumberFormat="1" applyFont="1" applyFill="1" applyBorder="1"/>
    <x:xf numFmtId="201" fontId="0" fillId="0" borderId="6" xfId="0" applyNumberFormat="1" applyFont="1" applyFill="1" applyBorder="1"/>
    <x:xf numFmtId="201" fontId="0" fillId="0" borderId="8" xfId="0" applyNumberFormat="1" applyFont="1" applyFill="1" applyBorder="1"/>
    <x:xf numFmtId="201" fontId="0" fillId="0" borderId="9" xfId="0" applyNumberFormat="1" applyFont="1" applyFill="1" applyBorder="1"/>
    <x:xf numFmtId="0" fontId="0" fillId="6" borderId="0" xfId="0" applyNumberFormat="1" applyFont="1" applyFill="1" applyBorder="1"/>
    <x:xf numFmtId="0" fontId="0" fillId="6" borderId="1" xfId="0" applyNumberFormat="1" applyFont="1" applyFill="1" applyBorder="1"/>
    <x:xf numFmtId="0" fontId="0" fillId="6" borderId="2" xfId="0" applyNumberFormat="1" applyFont="1" applyFill="1" applyBorder="1"/>
    <x:xf numFmtId="0" fontId="0" fillId="6" borderId="3" xfId="0" applyNumberFormat="1" applyFont="1" applyFill="1" applyBorder="1"/>
    <x:xf numFmtId="0" fontId="0" fillId="6" borderId="4" xfId="0" applyNumberFormat="1" applyFont="1" applyFill="1" applyBorder="1"/>
    <x:xf numFmtId="0" fontId="0" fillId="6" borderId="5"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6" borderId="1" xfId="0" applyNumberFormat="1" applyFont="1" applyFill="1" applyBorder="1" applyAlignment="1">
      <x:alignment wrapText="1"/>
    </x:xf>
    <x:xf numFmtId="0" fontId="0" fillId="6" borderId="2" xfId="0" applyNumberFormat="1" applyFont="1" applyFill="1" applyBorder="1" applyAlignment="1">
      <x:alignment wrapText="1"/>
    </x:xf>
    <x:xf numFmtId="0" fontId="0" fillId="6" borderId="3" xfId="0" applyNumberFormat="1" applyFont="1" applyFill="1" applyBorder="1" applyAlignment="1">
      <x:alignment wrapText="1"/>
    </x:xf>
    <x:xf numFmtId="0" fontId="0" fillId="6" borderId="4"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9" xfId="0" applyNumberFormat="1" applyFont="1" applyFill="1" applyBorder="1" applyAlignment="1">
      <x:alignment wrapText="1"/>
    </x:xf>
    <x:xf numFmtId="201" fontId="0" fillId="0" borderId="2" xfId="0" applyNumberFormat="1" applyFont="1" applyFill="1" applyBorder="1" applyAlignment="1">
      <x:alignment wrapText="1"/>
    </x:xf>
    <x:xf numFmtId="201" fontId="0" fillId="0" borderId="5" xfId="0" applyNumberFormat="1" applyFont="1" applyFill="1" applyBorder="1" applyAlignment="1">
      <x:alignment wrapText="1"/>
    </x:xf>
    <x:xf numFmtId="201" fontId="0" fillId="0" borderId="8" xfId="0" applyNumberFormat="1" applyFont="1" applyFill="1" applyBorder="1" applyAlignment="1">
      <x:alignment wrapText="1"/>
    </x:xf>
    <x:xf numFmtId="203" fontId="0" fillId="0" borderId="0" xfId="0" applyNumberFormat="1" applyFont="1" applyFill="1" applyBorder="1"/>
    <x:xf numFmtId="0" fontId="3" fillId="0" borderId="1" xfId="0" applyNumberFormat="1" applyFont="1" applyFill="1" applyBorder="1"/>
    <x:xf numFmtId="203" fontId="0" fillId="0" borderId="2" xfId="0" applyNumberFormat="1" applyFont="1" applyFill="1" applyBorder="1"/>
    <x:xf numFmtId="203" fontId="0" fillId="0" borderId="5"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5" fillId="7" borderId="17" xfId="0" applyNumberFormat="1" applyFont="1" applyFill="1" applyBorder="1"/>
    <x:xf numFmtId="0" fontId="5" fillId="7" borderId="18" xfId="0" applyNumberFormat="1" applyFont="1" applyFill="1" applyBorder="1"/>
    <x:xf numFmtId="0" fontId="5" fillId="7" borderId="19" xfId="0" applyNumberFormat="1" applyFont="1" applyFill="1" applyBorder="1"/>
    <x:xf numFmtId="0" fontId="5" fillId="7" borderId="20" xfId="0" applyNumberFormat="1" applyFont="1" applyFill="1" applyBorder="1"/>
    <x:xf numFmtId="0" fontId="5" fillId="7" borderId="21" xfId="0" applyNumberFormat="1" applyFont="1" applyFill="1" applyBorder="1"/>
    <x:xf numFmtId="0" fontId="5" fillId="7" borderId="22" xfId="0" applyNumberFormat="1" applyFont="1" applyFill="1" applyBorder="1"/>
    <x:xf numFmtId="0" fontId="5" fillId="7" borderId="23" xfId="0" applyNumberFormat="1" applyFont="1" applyFill="1" applyBorder="1"/>
    <x:xf numFmtId="0" fontId="5" fillId="7" borderId="24" xfId="0" applyNumberFormat="1" applyFont="1" applyFill="1" applyBorder="1"/>
    <x:xf numFmtId="0" fontId="5" fillId="7" borderId="17" xfId="0" applyNumberFormat="1" applyFont="1" applyFill="1" applyBorder="1" applyAlignment="1">
      <x:alignment wrapText="1"/>
    </x:xf>
    <x:xf numFmtId="0" fontId="5" fillId="7" borderId="18" xfId="0" applyNumberFormat="1" applyFont="1" applyFill="1" applyBorder="1" applyAlignment="1">
      <x:alignment wrapText="1"/>
    </x:xf>
    <x:xf numFmtId="0" fontId="5" fillId="7" borderId="19" xfId="0" applyNumberFormat="1" applyFont="1" applyFill="1" applyBorder="1" applyAlignment="1">
      <x:alignment wrapText="1"/>
    </x:xf>
    <x:xf numFmtId="0" fontId="5" fillId="7" borderId="20" xfId="0" applyNumberFormat="1" applyFont="1" applyFill="1" applyBorder="1" applyAlignment="1">
      <x:alignment wrapText="1"/>
    </x:xf>
    <x:xf numFmtId="0" fontId="5" fillId="7" borderId="0" xfId="0" applyNumberFormat="1" applyFont="1" applyFill="1" applyBorder="1" applyAlignment="1">
      <x:alignment wrapText="1"/>
    </x:xf>
    <x:xf numFmtId="0" fontId="5" fillId="7" borderId="21" xfId="0" applyNumberFormat="1" applyFont="1" applyFill="1" applyBorder="1" applyAlignment="1">
      <x:alignment wrapText="1"/>
    </x:xf>
    <x:xf numFmtId="0" fontId="5" fillId="7" borderId="22" xfId="0" applyNumberFormat="1" applyFont="1" applyFill="1" applyBorder="1" applyAlignment="1">
      <x:alignment wrapText="1"/>
    </x:xf>
    <x:xf numFmtId="0" fontId="5" fillId="7" borderId="23" xfId="0" applyNumberFormat="1" applyFont="1" applyFill="1" applyBorder="1" applyAlignment="1">
      <x:alignment wrapText="1"/>
    </x:xf>
    <x:xf numFmtId="0" fontId="5" fillId="7" borderId="24" xfId="0" applyNumberFormat="1" applyFont="1" applyFill="1" applyBorder="1" applyAlignment="1">
      <x:alignment wrapText="1"/>
    </x:xf>
    <x:xf numFmtId="0" fontId="5" fillId="7" borderId="17" xfId="0" applyNumberFormat="1" applyFont="1" applyFill="1" applyBorder="1" applyAlignment="1">
      <x:alignment vertical="center" wrapText="1"/>
    </x:xf>
    <x:xf numFmtId="0" fontId="5" fillId="7" borderId="18" xfId="0" applyNumberFormat="1" applyFont="1" applyFill="1" applyBorder="1" applyAlignment="1">
      <x:alignment vertical="center" wrapText="1"/>
    </x:xf>
    <x:xf numFmtId="0" fontId="5" fillId="7" borderId="19" xfId="0" applyNumberFormat="1" applyFont="1" applyFill="1" applyBorder="1" applyAlignment="1">
      <x:alignment vertical="center" wrapText="1"/>
    </x:xf>
    <x:xf numFmtId="0" fontId="5" fillId="7" borderId="20"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0" fontId="5" fillId="7" borderId="21" xfId="0" applyNumberFormat="1" applyFont="1" applyFill="1" applyBorder="1" applyAlignment="1">
      <x:alignment vertical="center" wrapText="1"/>
    </x:xf>
    <x:xf numFmtId="0" fontId="5" fillId="7" borderId="22" xfId="0" applyNumberFormat="1" applyFont="1" applyFill="1" applyBorder="1" applyAlignment="1">
      <x:alignment vertical="center" wrapText="1"/>
    </x:xf>
    <x:xf numFmtId="0" fontId="5" fillId="7" borderId="23" xfId="0" applyNumberFormat="1" applyFont="1" applyFill="1" applyBorder="1" applyAlignment="1">
      <x:alignment vertical="center" wrapText="1"/>
    </x:xf>
    <x:xf numFmtId="0" fontId="5" fillId="7" borderId="24" xfId="0" applyNumberFormat="1" applyFont="1" applyFill="1" applyBorder="1" applyAlignment="1">
      <x:alignment vertical="center" wrapText="1"/>
    </x:xf>
  </x:cellXfs>
  <x:cellStyles count="1">
    <x:cellStyle name="Normal" xfId="0"/>
  </x:cellStyles>
  <x:dxfs count="22">
    <x:dxf>
      <x:font>
        <x:b/>
        <x:color rgb="FF15803D"/>
      </x:font>
      <x:fill>
        <x:patternFill patternType="solid">
          <x:bgColor rgb="FFDCFCE7"/>
        </x:patternFill>
      </x:fill>
    </x:dxf>
    <x:dxf>
      <x:font>
        <x:color rgb="FFB45309"/>
      </x:font>
      <x:fill>
        <x:patternFill patternType="solid">
          <x:bgColor rgb="FFFEF3C7"/>
        </x:patternFill>
      </x:fill>
    </x:dxf>
    <x:dxf>
      <x:font>
        <x:color rgb="FFB91C1C"/>
      </x:font>
      <x:fill>
        <x:patternFill patternType="solid">
          <x:bgColor rgb="FFFEE2E2"/>
        </x:patternFill>
      </x:fill>
    </x:dxf>
    <x:dxf>
      <x:font>
        <x:color rgb="FF475569"/>
      </x:font>
      <x:fill>
        <x:patternFill patternType="solid">
          <x:bgColor rgb="FFF1F5F9"/>
        </x:patternFill>
      </x:fill>
    </x:dxf>
    <x:dxf>
      <x:font>
        <x:b/>
        <x:color rgb="FFB45309"/>
      </x:font>
      <x:fill>
        <x:patternFill patternType="solid">
          <x:bgColor rgb="FFFEF3C7"/>
        </x:patternFill>
      </x:fill>
    </x:dxf>
    <x:dxf>
      <x:font>
        <x:b/>
        <x:color rgb="FF15803D"/>
      </x:font>
      <x:fill>
        <x:patternFill patternType="solid">
          <x:bgColor rgb="FFDCFCE7"/>
        </x:patternFill>
      </x:fill>
    </x:dxf>
    <x:dxf>
      <x:font>
        <x:color rgb="FFB45309"/>
      </x:font>
      <x:fill>
        <x:patternFill patternType="solid">
          <x:bgColor rgb="FFFEF3C7"/>
        </x:patternFill>
      </x:fill>
    </x:dxf>
    <x:dxf>
      <x:font>
        <x:color rgb="FFB91C1C"/>
      </x:font>
      <x:fill>
        <x:patternFill patternType="solid">
          <x:bgColor rgb="FFFEE2E2"/>
        </x:patternFill>
      </x:fill>
    </x:dxf>
    <x:dxf>
      <x:font>
        <x:color rgb="FF475569"/>
      </x:font>
      <x:fill>
        <x:patternFill patternType="solid">
          <x:bgColor rgb="FFF1F5F9"/>
        </x:patternFill>
      </x:fill>
    </x:dxf>
    <x:dxf>
      <x:font>
        <x:b/>
        <x:color rgb="FFB45309"/>
      </x:font>
      <x:fill>
        <x:patternFill patternType="solid">
          <x:bgColor rgb="FFFEF3C7"/>
        </x:patternFill>
      </x:fill>
    </x:dxf>
    <x:dxf>
      <x:font>
        <x:b/>
        <x:color rgb="FF15803D"/>
      </x:font>
      <x:fill>
        <x:patternFill patternType="solid">
          <x:bgColor rgb="FFDCFCE7"/>
        </x:patternFill>
      </x:fill>
    </x:dxf>
    <x:dxf>
      <x:font>
        <x:color rgb="FFB45309"/>
      </x:font>
      <x:fill>
        <x:patternFill patternType="solid">
          <x:bgColor rgb="FFFEF3C7"/>
        </x:patternFill>
      </x:fill>
    </x:dxf>
    <x:dxf>
      <x:font>
        <x:color rgb="FFB91C1C"/>
      </x:font>
      <x:fill>
        <x:patternFill patternType="solid">
          <x:bgColor rgb="FFFEE2E2"/>
        </x:patternFill>
      </x:fill>
    </x:dxf>
    <x:dxf>
      <x:font>
        <x:color rgb="FF475569"/>
      </x:font>
      <x:fill>
        <x:patternFill patternType="solid">
          <x:bgColor rgb="FFF1F5F9"/>
        </x:patternFill>
      </x:fill>
    </x:dxf>
    <x:dxf>
      <x:font>
        <x:b/>
        <x:color rgb="FFB45309"/>
      </x:font>
      <x:fill>
        <x:patternFill patternType="solid">
          <x:bgColor rgb="FFFEF3C7"/>
        </x:patternFill>
      </x:fill>
    </x:dxf>
    <x:dxf>
      <x:font>
        <x:b/>
        <x:color rgb="FF15803D"/>
      </x:font>
      <x:fill>
        <x:patternFill patternType="solid">
          <x:bgColor rgb="FFDCFCE7"/>
        </x:patternFill>
      </x:fill>
    </x:dxf>
    <x:dxf>
      <x:font>
        <x:color rgb="FFB45309"/>
      </x:font>
      <x:fill>
        <x:patternFill patternType="solid">
          <x:bgColor rgb="FFFEF3C7"/>
        </x:patternFill>
      </x:fill>
    </x:dxf>
    <x:dxf>
      <x:font>
        <x:color rgb="FFB91C1C"/>
      </x:font>
      <x:fill>
        <x:patternFill patternType="solid">
          <x:bgColor rgb="FFFEE2E2"/>
        </x:patternFill>
      </x:fill>
    </x:dxf>
    <x:dxf>
      <x:font>
        <x:color rgb="FF475569"/>
      </x:font>
      <x:fill>
        <x:patternFill patternType="solid">
          <x:bgColor rgb="FFF1F5F9"/>
        </x:patternFill>
      </x:fill>
    </x:dxf>
    <x:dxf>
      <x:font>
        <x:b/>
        <x:color rgb="FFB45309"/>
      </x:font>
      <x:fill>
        <x:patternFill patternType="solid">
          <x:bgColor rgb="FFFEF3C7"/>
        </x:patternFill>
      </x:fill>
    </x:dxf>
    <x:dxf>
      <x:font>
        <x:b/>
        <x:color rgb="FF15803D"/>
      </x:font>
      <x:fill>
        <x:patternFill patternType="solid">
          <x:bgColor rgb="FFDCFCE7"/>
        </x:patternFill>
      </x:fill>
    </x:dxf>
    <x:dxf>
      <x:font>
        <x:color rgb="FF475569"/>
      </x:font>
      <x:fill>
        <x:patternFill patternType="solid">
          <x:bgColor rgb="FFF1F5F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6f4086fd76b48bb" /><Relationship Type="http://schemas.openxmlformats.org/officeDocument/2006/relationships/theme" Target="/xl/theme/theme1.xml" Id="R413c4d6eac9648fc" /><Relationship Type="http://schemas.openxmlformats.org/officeDocument/2006/relationships/sharedStrings" Target="/xl/sharedStrings.xml" Id="R01b35f0323dc4ddc" /><Relationship Type="http://schemas.openxmlformats.org/officeDocument/2006/relationships/worksheet" Target="/xl/worksheets/sheet1.xml" Id="Re8b0500f9d7b4a14" /><Relationship Type="http://schemas.openxmlformats.org/officeDocument/2006/relationships/worksheet" Target="/xl/worksheets/sheet2.xml" Id="R6e298fc53f4b493b" /><Relationship Type="http://schemas.openxmlformats.org/officeDocument/2006/relationships/worksheet" Target="/xl/worksheets/sheet3.xml" Id="R4d5d38f528de48e3" /><Relationship Type="http://schemas.openxmlformats.org/officeDocument/2006/relationships/worksheet" Target="/xl/worksheets/sheet4.xml" Id="R4e1f560fe8b14096" /><Relationship Type="http://schemas.openxmlformats.org/officeDocument/2006/relationships/worksheet" Target="/xl/worksheets/sheet5.xml" Id="Rb963fa94aed94bfc" /><Relationship Type="http://schemas.openxmlformats.org/officeDocument/2006/relationships/worksheet" Target="/xl/worksheets/sheet6.xml" Id="Re5cb0ee33ca24f66" /><Relationship Type="http://schemas.openxmlformats.org/officeDocument/2006/relationships/worksheet" Target="/xl/worksheets/sheet7.xml" Id="R79decfbbde9e47fa" /><Relationship Type="http://schemas.openxmlformats.org/officeDocument/2006/relationships/worksheet" Target="/xl/worksheets/sheet8.xml" Id="Re3652e0f3a464929" /></Relationships>
</file>

<file path=xl/tables/table1.xml><?xml version="1.0" encoding="utf-8"?>
<x:table xmlns:x="http://schemas.openxmlformats.org/spreadsheetml/2006/main" id="1" name="AllPostsTable" displayName="AllPostsTable" ref="A1:T199" headerRowCount="1" totalsRowCount="0" totalsRowShown="0">
  <x:autoFilter ref="A1:T199"/>
  <x:tableColumns count="20">
    <x:tableColumn id="1" name="Platform"/>
    <x:tableColumn id="2" name="Discovery Source"/>
    <x:tableColumn id="3" name="Post ID"/>
    <x:tableColumn id="4" name="Published Date"/>
    <x:tableColumn id="5" name="Author"/>
    <x:tableColumn id="6" name="Content Type"/>
    <x:tableColumn id="7" name="Post Text"/>
    <x:tableColumn id="8" name="Hashtags"/>
    <x:tableColumn id="9" name="Mentions / Tagged"/>
    <x:tableColumn id="10" name="Comments"/>
    <x:tableColumn id="11" name="Likes"/>
    <x:tableColumn id="12" name="Plays"/>
    <x:tableColumn id="13" name="Shares"/>
    <x:tableColumn id="14" name="Source URL"/>
    <x:tableColumn id="15" name="Style Signals"/>
    <x:tableColumn id="16" name="Preliminary Bucket"/>
    <x:tableColumn id="17" name="Target Signal Candidate"/>
    <x:tableColumn id="18" name="Gate Decision"/>
    <x:tableColumn id="19" name="LLM Review?"/>
    <x:tableColumn id="20" name="Gate Reason"/>
  </x:tableColumns>
  <x:tableStyleInfo name="TableStyleMedium2" showFirstColumn="0" showLastColumn="0" showRowStripes="1" showColumnStripes="0"/>
</x:table>
</file>

<file path=xl/tables/table2.xml><?xml version="1.0" encoding="utf-8"?>
<x:table xmlns:x="http://schemas.openxmlformats.org/spreadsheetml/2006/main" id="2" name="RelevantPostsTable" displayName="RelevantPostsTable" ref="A1:T73" headerRowCount="1" totalsRowCount="0" totalsRowShown="0">
  <x:autoFilter ref="A1:T73"/>
  <x:tableColumns count="20">
    <x:tableColumn id="1" name="Platform"/>
    <x:tableColumn id="2" name="Discovery Source"/>
    <x:tableColumn id="3" name="Post ID"/>
    <x:tableColumn id="4" name="Published Date"/>
    <x:tableColumn id="5" name="Author"/>
    <x:tableColumn id="6" name="Content Type"/>
    <x:tableColumn id="7" name="Post Text"/>
    <x:tableColumn id="8" name="Hashtags"/>
    <x:tableColumn id="9" name="Mentions / Tagged"/>
    <x:tableColumn id="10" name="Comments"/>
    <x:tableColumn id="11" name="Likes"/>
    <x:tableColumn id="12" name="Plays"/>
    <x:tableColumn id="13" name="Shares"/>
    <x:tableColumn id="14" name="Source URL"/>
    <x:tableColumn id="15" name="Style Signals"/>
    <x:tableColumn id="16" name="Preliminary Bucket"/>
    <x:tableColumn id="17" name="Target Signal Candidate"/>
    <x:tableColumn id="18" name="Gate Decision"/>
    <x:tableColumn id="19" name="LLM Review?"/>
    <x:tableColumn id="20" name="Gate Reason"/>
  </x:tableColumns>
  <x:tableStyleInfo name="TableStyleMedium2" showFirstColumn="0" showLastColumn="0" showRowStripes="1" showColumnStripes="0"/>
</x:table>
</file>

<file path=xl/tables/table3.xml><?xml version="1.0" encoding="utf-8"?>
<x:table xmlns:x="http://schemas.openxmlformats.org/spreadsheetml/2006/main" id="3" name="PriorityReviewTable" displayName="PriorityReviewTable" ref="A1:V33" headerRowCount="1" totalsRowCount="0" totalsRowShown="0">
  <x:autoFilter ref="A1:V33"/>
  <x:tableColumns count="22">
    <x:tableColumn id="1" name="Platform"/>
    <x:tableColumn id="2" name="Discovery Source"/>
    <x:tableColumn id="3" name="Post ID"/>
    <x:tableColumn id="4" name="Published Date"/>
    <x:tableColumn id="5" name="Author"/>
    <x:tableColumn id="6" name="Content Type"/>
    <x:tableColumn id="7" name="Post Text"/>
    <x:tableColumn id="8" name="Hashtags"/>
    <x:tableColumn id="9" name="Mentions / Tagged"/>
    <x:tableColumn id="10" name="Comments"/>
    <x:tableColumn id="11" name="Likes"/>
    <x:tableColumn id="12" name="Plays"/>
    <x:tableColumn id="13" name="Shares"/>
    <x:tableColumn id="14" name="Source URL"/>
    <x:tableColumn id="15" name="Style Signals"/>
    <x:tableColumn id="16" name="Preliminary Bucket"/>
    <x:tableColumn id="17" name="Target Signal Candidate"/>
    <x:tableColumn id="18" name="Gate Decision"/>
    <x:tableColumn id="19" name="LLM Review?"/>
    <x:tableColumn id="20" name="Gate Reason"/>
    <x:tableColumn id="21" name="Human Decision"/>
    <x:tableColumn id="22" name="Review Notes"/>
  </x:tableColumns>
  <x:tableStyleInfo name="TableStyleMedium2" showFirstColumn="0" showLastColumn="0" showRowStripes="1" showColumnStripes="0"/>
</x:table>
</file>

<file path=xl/tables/table4.xml><?xml version="1.0" encoding="utf-8"?>
<x:table xmlns:x="http://schemas.openxmlformats.org/spreadsheetml/2006/main" id="4" name="ExcludedPostsTable" displayName="ExcludedPostsTable" ref="A1:T87" headerRowCount="1" totalsRowCount="0" totalsRowShown="0">
  <x:autoFilter ref="A1:T87"/>
  <x:tableColumns count="20">
    <x:tableColumn id="1" name="Platform"/>
    <x:tableColumn id="2" name="Discovery Source"/>
    <x:tableColumn id="3" name="Post ID"/>
    <x:tableColumn id="4" name="Published Date"/>
    <x:tableColumn id="5" name="Author"/>
    <x:tableColumn id="6" name="Content Type"/>
    <x:tableColumn id="7" name="Post Text"/>
    <x:tableColumn id="8" name="Hashtags"/>
    <x:tableColumn id="9" name="Mentions / Tagged"/>
    <x:tableColumn id="10" name="Comments"/>
    <x:tableColumn id="11" name="Likes"/>
    <x:tableColumn id="12" name="Plays"/>
    <x:tableColumn id="13" name="Shares"/>
    <x:tableColumn id="14" name="Source URL"/>
    <x:tableColumn id="15" name="Style Signals"/>
    <x:tableColumn id="16" name="Preliminary Bucket"/>
    <x:tableColumn id="17" name="Target Signal Candidate"/>
    <x:tableColumn id="18" name="Gate Decision"/>
    <x:tableColumn id="19" name="LLM Review?"/>
    <x:tableColumn id="20" name="Gate Reason"/>
  </x:tableColumns>
  <x:tableStyleInfo name="TableStyleMedium2" showFirstColumn="0" showLastColumn="0" showRowStripes="1" showColumnStripes="0"/>
</x:table>
</file>

<file path=xl/tables/table5.xml><?xml version="1.0" encoding="utf-8"?>
<x:table xmlns:x="http://schemas.openxmlformats.org/spreadsheetml/2006/main" id="5" name="PulledCommentsTable" displayName="PulledCommentsTable" ref="A1:N16" headerRowCount="1" totalsRowCount="0" totalsRowShown="0">
  <x:autoFilter ref="A1:N16"/>
  <x:tableColumns count="14">
    <x:tableColumn id="1" name="Platform"/>
    <x:tableColumn id="2" name="Parent Published Date"/>
    <x:tableColumn id="3" name="Comment Date"/>
    <x:tableColumn id="4" name="Parent Author"/>
    <x:tableColumn id="5" name="Comment Author"/>
    <x:tableColumn id="6" name="Comment Text"/>
    <x:tableColumn id="7" name="Likes"/>
    <x:tableColumn id="8" name="Parent URL"/>
    <x:tableColumn id="9" name="Parent Post Text"/>
    <x:tableColumn id="10" name="Include in June Analysis?"/>
    <x:tableColumn id="11" name="Preliminary Relevance"/>
    <x:tableColumn id="12" name="Conversation Topic"/>
    <x:tableColumn id="13" name="Back / Dead / Unaware Signal"/>
    <x:tableColumn id="14" name="Notes"/>
  </x:tableColumns>
  <x:tableStyleInfo name="TableStyleMedium2" showFirstColumn="0" showLastColumn="0" showRowStripes="1" showColumnStripes="0"/>
</x:table>
</file>

<file path=xl/tables/table6.xml><?xml version="1.0" encoding="utf-8"?>
<x:table xmlns:x="http://schemas.openxmlformats.org/spreadsheetml/2006/main" id="6" name="QueryDictionaryTable" displayName="QueryDictionaryTable" ref="A1:E14" headerRowCount="1" totalsRowCount="0" totalsRowShown="0">
  <x:autoFilter ref="A1:E14"/>
  <x:tableColumns count="5">
    <x:tableColumn id="1" name="Term"/>
    <x:tableColumn id="2" name="Type"/>
    <x:tableColumn id="3" name="Signal Strength"/>
    <x:tableColumn id="4" name="Validation Rule"/>
    <x:tableColumn id="5" name="Current 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55fef3041d24c20" /></Relationships>
</file>

<file path=xl/worksheets/_rels/sheet3.xml.rels>&#65279;<?xml version="1.0" encoding="utf-8"?><Relationships xmlns="http://schemas.openxmlformats.org/package/2006/relationships"><Relationship Type="http://schemas.openxmlformats.org/officeDocument/2006/relationships/table" Target="/xl/tables/table2.xml" Id="R34d5db04027345db" /></Relationships>
</file>

<file path=xl/worksheets/_rels/sheet4.xml.rels>&#65279;<?xml version="1.0" encoding="utf-8"?><Relationships xmlns="http://schemas.openxmlformats.org/package/2006/relationships"><Relationship Type="http://schemas.openxmlformats.org/officeDocument/2006/relationships/table" Target="/xl/tables/table3.xml" Id="R8737427393b8456d" /></Relationships>
</file>

<file path=xl/worksheets/_rels/sheet5.xml.rels>&#65279;<?xml version="1.0" encoding="utf-8"?><Relationships xmlns="http://schemas.openxmlformats.org/package/2006/relationships"><Relationship Type="http://schemas.openxmlformats.org/officeDocument/2006/relationships/table" Target="/xl/tables/table4.xml" Id="R8927e1fe61bb4900" /></Relationships>
</file>

<file path=xl/worksheets/_rels/sheet6.xml.rels>&#65279;<?xml version="1.0" encoding="utf-8"?><Relationships xmlns="http://schemas.openxmlformats.org/package/2006/relationships"><Relationship Type="http://schemas.openxmlformats.org/officeDocument/2006/relationships/table" Target="/xl/tables/table5.xml" Id="R4774b408c7d6445d" /></Relationships>
</file>

<file path=xl/worksheets/_rels/sheet7.xml.rels>&#65279;<?xml version="1.0" encoding="utf-8"?><Relationships xmlns="http://schemas.openxmlformats.org/package/2006/relationships"><Relationship Type="http://schemas.openxmlformats.org/officeDocument/2006/relationships/table" Target="/xl/tables/table6.xml" Id="R49fc2c20ee234a13"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25" hidden="0" customWidth="1"/>
    <x:col min="4" max="4" width="26" hidden="0" customWidth="1"/>
    <x:col min="5" max="5" width="28" hidden="0" customWidth="1"/>
    <x:col min="6" max="6" width="20" hidden="0" customWidth="1"/>
    <x:col min="7" max="7" width="20" hidden="0" customWidth="1"/>
    <x:col min="8" max="8" width="20" hidden="0" customWidth="1"/>
  </x:cols>
  <x:sheetData>
    <x:row r="1" ht="30" customHeight="1">
      <x:c r="A1" s="36" t="str">
        <x:v>American Apparel — June 2026 social listening first pass</x:v>
      </x:c>
      <x:c r="B1" s="36"/>
      <x:c r="C1" s="36"/>
      <x:c r="D1" s="36"/>
      <x:c r="E1" s="36"/>
      <x:c r="F1" s="36"/>
      <x:c r="G1" s="36"/>
      <x:c r="H1" s="36"/>
    </x:row>
    <x:row r="2" ht="30" customHeight="1">
      <x:c r="A2" s="36"/>
      <x:c r="B2" s="36"/>
      <x:c r="C2" s="36"/>
      <x:c r="D2" s="36"/>
      <x:c r="E2" s="36"/>
      <x:c r="F2" s="36"/>
      <x:c r="G2" s="36"/>
      <x:c r="H2" s="36"/>
    </x:row>
    <x:row r="3">
      <x:c r="A3" s="39" t="str">
        <x:v>Discovery validation, preliminary relevance screening, and comments already pulled — not yet a final month-wide percentage.</x:v>
      </x:c>
      <x:c r="B3" s="39"/>
      <x:c r="C3" s="39"/>
      <x:c r="D3" s="39"/>
      <x:c r="E3" s="39"/>
      <x:c r="F3" s="39"/>
      <x:c r="G3" s="39"/>
      <x:c r="H3" s="39"/>
    </x:row>
    <x:row r="5">
      <x:c r="A5" s="91" t="str">
        <x:v>UNIQUE JUNE POSTS</x:v>
      </x:c>
      <x:c r="B5" s="92"/>
      <x:c r="C5" s="91" t="str">
        <x:v>LIKELY RELEVANT</x:v>
      </x:c>
      <x:c r="D5" s="92"/>
      <x:c r="E5" s="91" t="str">
        <x:v>LLM REVIEW QUEUE</x:v>
      </x:c>
      <x:c r="F5" s="92"/>
      <x:c r="G5" s="91" t="str">
        <x:v>JUNE COMMENTS PULLED</x:v>
      </x:c>
      <x:c r="H5" s="92"/>
    </x:row>
    <x:row r="6">
      <x:c r="A6" s="101" t="n">
        <x:f>COUNTA('All Posts'!$A$2:$A$199)</x:f>
        <x:v>198</x:v>
      </x:c>
      <x:c r="B6" s="102"/>
      <x:c r="C6" s="101" t="n">
        <x:f>COUNTIF('All Posts'!$P$2:$P$199,"Likely relevant")</x:f>
        <x:v>72</x:v>
      </x:c>
      <x:c r="D6" s="102"/>
      <x:c r="E6" s="101" t="n">
        <x:f>COUNTIF('All Posts'!$S$2:$S$199,"Yes")</x:f>
        <x:v>32</x:v>
      </x:c>
      <x:c r="F6" s="102"/>
      <x:c r="G6" s="101" t="n">
        <x:f>COUNTIF('Pulled Comments'!$J$2:$J$16,"Yes")</x:f>
        <x:v>5</x:v>
      </x:c>
      <x:c r="H6" s="102"/>
    </x:row>
    <x:row r="7">
      <x:c r="A7" s="103"/>
      <x:c r="B7" s="104"/>
      <x:c r="C7" s="103"/>
      <x:c r="D7" s="104"/>
      <x:c r="E7" s="103"/>
      <x:c r="F7" s="104"/>
      <x:c r="G7" s="103"/>
      <x:c r="H7" s="104"/>
    </x:row>
    <x:row r="9">
      <x:c r="A9" s="42" t="str">
        <x:v>Preliminary composition — rules-based, before full LLM coding</x:v>
      </x:c>
      <x:c r="B9" s="42"/>
      <x:c r="C9" s="42"/>
      <x:c r="D9" s="42"/>
      <x:c r="E9" s="42"/>
      <x:c r="F9" s="42"/>
      <x:c r="G9" s="42"/>
      <x:c r="H9" s="42"/>
    </x:row>
    <x:row r="10">
      <x:c r="A10" s="2" t="str">
        <x:v>Bucket</x:v>
      </x:c>
      <x:c r="B10" s="2" t="str">
        <x:v>Posts</x:v>
      </x:c>
      <x:c r="C10" s="2" t="str">
        <x:v>Available Comment Count</x:v>
      </x:c>
      <x:c r="E10" s="2" t="str">
        <x:v>What the first pass shows</x:v>
      </x:c>
      <x:c r="F10" s="2" t="str"/>
      <x:c r="G10" s="2" t="str"/>
      <x:c r="H10" s="2" t="str"/>
    </x:row>
    <x:row r="11">
      <x:c r="A11" s="105" t="str">
        <x:v>Likely relevant</x:v>
      </x:c>
      <x:c r="B11" s="109" t="n">
        <x:f>COUNTIF('All Posts'!$P$2:$P$199,A11)</x:f>
        <x:v>72</x:v>
      </x:c>
      <x:c r="C11" s="110" t="n">
        <x:f>SUMIF('All Posts'!$P$2:$P$199,A11,'All Posts'!$J$2:$J$199)</x:f>
        <x:v>215</x:v>
      </x:c>
      <x:c r="E11" s="125" t="str">
        <x:v>Giveaways</x:v>
      </x:c>
      <x:c r="F11" s="126" t="str">
        <x:v>2 posts</x:v>
      </x:c>
      <x:c r="G11" s="126" t="str">
        <x:v>1,826 comments</x:v>
      </x:c>
      <x:c r="H11" s="127" t="str">
        <x:v>Separate from organic conversation</x:v>
      </x:c>
    </x:row>
    <x:row r="12">
      <x:c r="A12" s="57" t="str">
        <x:v>Ambiguous / incidental</x:v>
      </x:c>
      <x:c r="B12" s="111" t="n">
        <x:f>COUNTIF('All Posts'!$P$2:$P$199,A12)</x:f>
        <x:v>40</x:v>
      </x:c>
      <x:c r="C12" s="112" t="n">
        <x:f>SUMIF('All Posts'!$P$2:$P$199,A12,'All Posts'!$J$2:$J$199)</x:f>
        <x:v>322</x:v>
      </x:c>
      <x:c r="E12" s="128" t="str">
        <x:v>Design-sale noise</x:v>
      </x:c>
      <x:c r="F12" s="129" t="str">
        <x:v>83 posts</x:v>
      </x:c>
      <x:c r="G12" s="129" t="str">
        <x:v>165 comments</x:v>
      </x:c>
      <x:c r="H12" s="130" t="str">
        <x:v>Skip before any LLM/comment spend</x:v>
      </x:c>
    </x:row>
    <x:row r="13">
      <x:c r="A13" s="57" t="str">
        <x:v>Design-sale noise</x:v>
      </x:c>
      <x:c r="B13" s="111" t="n">
        <x:f>COUNTIF('All Posts'!$P$2:$P$199,A13)</x:f>
        <x:v>83</x:v>
      </x:c>
      <x:c r="C13" s="112" t="n">
        <x:f>SUMIF('All Posts'!$P$2:$P$199,A13,'All Posts'!$J$2:$J$199)</x:f>
        <x:v>165</x:v>
      </x:c>
      <x:c r="E13" s="128" t="str">
        <x:v>Pulled June comments</x:v>
      </x:c>
      <x:c r="F13" s="129" t="str">
        <x:v>5 comments</x:v>
      </x:c>
      <x:c r="G13" s="129" t="str">
        <x:v>TikTok</x:v>
      </x:c>
      <x:c r="H13" s="130" t="str">
        <x:v>Useful actor QA; not enough for a percentage</x:v>
      </x:c>
    </x:row>
    <x:row r="14">
      <x:c r="A14" s="57" t="str">
        <x:v>Giveaway / promotion</x:v>
      </x:c>
      <x:c r="B14" s="111" t="n">
        <x:f>COUNTIF('All Posts'!$P$2:$P$199,A14)</x:f>
        <x:v>2</x:v>
      </x:c>
      <x:c r="C14" s="112" t="n">
        <x:f>SUMIF('All Posts'!$P$2:$P$199,A14,'All Posts'!$J$2:$J$199)</x:f>
        <x:v>1826</x:v>
      </x:c>
      <x:c r="E14" s="128" t="str">
        <x:v>Target metric</x:v>
      </x:c>
      <x:c r="F14" s="129" t="str">
        <x:v>Not reportable</x:v>
      </x:c>
      <x:c r="G14" s="129" t="str"/>
      <x:c r="H14" s="130" t="str">
        <x:v>Need a representative organic comment sample</x:v>
      </x:c>
    </x:row>
    <x:row r="15">
      <x:c r="A15" s="108" t="str">
        <x:v>Likely irrelevant / generic</x:v>
      </x:c>
      <x:c r="B15" s="113" t="n">
        <x:f>COUNTIF('All Posts'!$P$2:$P$199,A15)</x:f>
        <x:v>1</x:v>
      </x:c>
      <x:c r="C15" s="114" t="n">
        <x:f>SUMIF('All Posts'!$P$2:$P$199,A15,'All Posts'!$J$2:$J$199)</x:f>
        <x:v>6</x:v>
      </x:c>
      <x:c r="E15" s="131" t="str">
        <x:v>Decision</x:v>
      </x:c>
      <x:c r="F15" s="132" t="str">
        <x:v>Build the gate now</x:v>
      </x:c>
      <x:c r="G15" s="132" t="str"/>
      <x:c r="H15" s="133" t="str">
        <x:v>Then perform a controlled deeper run</x:v>
      </x:c>
    </x:row>
    <x:row r="17">
      <x:c r="A17" s="42" t="str">
        <x:v>Discovery coverage</x:v>
      </x:c>
      <x:c r="B17" s="42"/>
      <x:c r="C17" s="42"/>
      <x:c r="D17" s="42"/>
      <x:c r="E17" s="42"/>
      <x:c r="F17" s="42"/>
      <x:c r="G17" s="42"/>
      <x:c r="H17" s="42"/>
    </x:row>
    <x:row r="18">
      <x:c r="A18" s="3" t="str">
        <x:v>Source</x:v>
      </x:c>
      <x:c r="B18" s="3" t="str">
        <x:v>Raw Results</x:v>
      </x:c>
      <x:c r="C18" s="3" t="str">
        <x:v>Unique June Posts</x:v>
      </x:c>
      <x:c r="D18" s="3" t="str">
        <x:v>Observed June Dates</x:v>
      </x:c>
      <x:c r="E18" s="3" t="str">
        <x:v>Caveat</x:v>
      </x:c>
    </x:row>
    <x:row r="19">
      <x:c r="A19" s="134" t="str">
        <x:v>Instagram mentions/tags</x:v>
      </x:c>
      <x:c r="B19" s="141" t="n">
        <x:v>100</x:v>
      </x:c>
      <x:c r="C19" s="141" t="n">
        <x:v>46</x:v>
      </x:c>
      <x:c r="D19" s="135" t="str">
        <x:v>2026-06-10 to 2026-06-30</x:v>
      </x:c>
      <x:c r="E19" s="136" t="str">
        <x:v>Partial month</x:v>
      </x:c>
    </x:row>
    <x:row r="20">
      <x:c r="A20" s="137" t="str">
        <x:v>Instagram hashtag</x:v>
      </x:c>
      <x:c r="B20" s="142" t="n">
        <x:v>250</x:v>
      </x:c>
      <x:c r="C20" s="142" t="n">
        <x:v>146</x:v>
      </x:c>
      <x:c r="D20" s="68" t="str">
        <x:v>2026-06-12 to 2026-06-30</x:v>
      </x:c>
      <x:c r="E20" s="138" t="str">
        <x:v>Noisy; heavy design-sale spam</x:v>
      </x:c>
    </x:row>
    <x:row r="21">
      <x:c r="A21" s="137" t="str">
        <x:v>TikTok hashtag (merged tests)</x:v>
      </x:c>
      <x:c r="B21" s="142" t="n">
        <x:v>105</x:v>
      </x:c>
      <x:c r="C21" s="142" t="n">
        <x:v>9</x:v>
      </x:c>
      <x:c r="D21" s="68" t="str">
        <x:v>2026-06-06 to 2026-06-30</x:v>
      </x:c>
      <x:c r="E21" s="138" t="str">
        <x:v>Algorithmic, not exhaustive</x:v>
      </x:c>
    </x:row>
    <x:row r="22">
      <x:c r="A22" s="139" t="str">
        <x:v>Deduplicated total</x:v>
      </x:c>
      <x:c r="B22" s="143" t="n">
        <x:v>455</x:v>
      </x:c>
      <x:c r="C22" s="143" t="n">
        <x:v>198</x:v>
      </x:c>
      <x:c r="D22" s="74" t="str">
        <x:v>June 2026</x:v>
      </x:c>
      <x:c r="E22" s="140" t="str">
        <x:v>Validation set only</x:v>
      </x:c>
    </x:row>
    <x:row r="24">
      <x:c r="A24" s="42" t="str">
        <x:v>Budget checkpoint and recommendation</x:v>
      </x:c>
      <x:c r="B24" s="42"/>
      <x:c r="C24" s="42"/>
      <x:c r="D24" s="42"/>
      <x:c r="E24" s="42"/>
      <x:c r="F24" s="42"/>
      <x:c r="G24" s="42"/>
      <x:c r="H24" s="42"/>
    </x:row>
    <x:row r="25">
      <x:c r="A25" s="145" t="str">
        <x:v>Stated test budget</x:v>
      </x:c>
      <x:c r="B25" s="146" t="n">
        <x:v>29</x:v>
      </x:c>
      <x:c r="C25" s="107" t="str">
        <x:v>USD</x:v>
      </x:c>
      <x:c r="E25" s="167" t="str">
        <x:v>Recommendation: the actor choices and schemas are validated enough to build the MVP stack now. Search depth is not yet sufficient for the final June percentage. Complete June 1–30 coverage only after the relevance gate, deduplication, and tiered 30-comment sampling are in place.</x:v>
      </x:c>
      <x:c r="F25" s="168"/>
      <x:c r="G25" s="168"/>
      <x:c r="H25" s="169"/>
    </x:row>
    <x:row r="26">
      <x:c r="A26" s="69" t="str">
        <x:v>Approx. spent in validation</x:v>
      </x:c>
      <x:c r="B26" s="147" t="n">
        <x:v>1.35</x:v>
      </x:c>
      <x:c r="C26" s="59" t="str">
        <x:v>USD</x:v>
      </x:c>
      <x:c r="E26" s="170"/>
      <x:c r="F26" s="171"/>
      <x:c r="G26" s="171"/>
      <x:c r="H26" s="172"/>
    </x:row>
    <x:row r="27">
      <x:c r="A27" s="69" t="str">
        <x:v>Approx. remaining</x:v>
      </x:c>
      <x:c r="B27" s="147" t="n">
        <x:f>B25-B26</x:f>
        <x:v>27.65</x:v>
      </x:c>
      <x:c r="C27" s="59" t="str">
        <x:v>USD</x:v>
      </x:c>
      <x:c r="E27" s="170"/>
      <x:c r="F27" s="171"/>
      <x:c r="G27" s="171"/>
      <x:c r="H27" s="172"/>
    </x:row>
    <x:row r="28">
      <x:c r="A28" s="72" t="str">
        <x:v>Recommended next spend</x:v>
      </x:c>
      <x:c r="B28" s="75" t="str">
        <x:v>Small, gated samples</x:v>
      </x:c>
      <x:c r="C28" s="76" t="str">
        <x:v>No broad comment scrape yet</x:v>
      </x:c>
      <x:c r="E28" s="173"/>
      <x:c r="F28" s="174"/>
      <x:c r="G28" s="174"/>
      <x:c r="H28" s="175"/>
    </x:row>
  </x:sheetData>
  <x:mergeCells>
    <x:mergeCell ref="A1:H2"/>
    <x:mergeCell ref="A3:H3"/>
    <x:mergeCell ref="A5:B5"/>
    <x:mergeCell ref="A6:B7"/>
    <x:mergeCell ref="C5:D5"/>
    <x:mergeCell ref="C6:D7"/>
    <x:mergeCell ref="E5:F5"/>
    <x:mergeCell ref="E6:F7"/>
    <x:mergeCell ref="G5:H5"/>
    <x:mergeCell ref="G6:H7"/>
    <x:mergeCell ref="A9:H9"/>
    <x:mergeCell ref="E10:H10"/>
    <x:mergeCell ref="A17:H17"/>
    <x:mergeCell ref="A24:H24"/>
    <x:mergeCell ref="E25: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3" hidden="0" customWidth="1"/>
    <x:col min="5" max="5" width="18" hidden="0" customWidth="1"/>
    <x:col min="6" max="6" width="12" hidden="0" customWidth="1"/>
    <x:col min="7" max="7" width="54" hidden="0" customWidth="1"/>
    <x:col min="8" max="8" width="35" hidden="0" customWidth="1"/>
    <x:col min="9" max="9" width="28" hidden="0" customWidth="1"/>
    <x:col min="10" max="10" width="11" hidden="0" customWidth="1"/>
    <x:col min="11" max="11" width="11" hidden="0" customWidth="1"/>
    <x:col min="12" max="12" width="12" hidden="0" customWidth="1"/>
    <x:col min="13" max="13" width="10" hidden="0" customWidth="1"/>
    <x:col min="14" max="14" width="46" hidden="0" customWidth="1"/>
    <x:col min="15" max="15" width="18" hidden="0" customWidth="1"/>
    <x:col min="16" max="16" width="23" hidden="0" customWidth="1"/>
    <x:col min="17" max="17" width="30" hidden="0" customWidth="1"/>
    <x:col min="18" max="18" width="23" hidden="0" customWidth="1"/>
    <x:col min="19" max="19" width="12" hidden="0" customWidth="1"/>
    <x:col min="20" max="20" width="50" hidden="0" customWidth="1"/>
  </x:cols>
  <x:sheetData>
    <x:row r="1" ht="34" customHeight="1">
      <x:c r="A1" s="4" t="str">
        <x:v>Platform</x:v>
      </x:c>
      <x:c r="B1" s="4" t="str">
        <x:v>Discovery Source</x:v>
      </x:c>
      <x:c r="C1" s="4" t="str">
        <x:v>Post ID</x:v>
      </x:c>
      <x:c r="D1" s="4" t="str">
        <x:v>Published Date</x:v>
      </x:c>
      <x:c r="E1" s="4" t="str">
        <x:v>Author</x:v>
      </x:c>
      <x:c r="F1" s="4" t="str">
        <x:v>Content Type</x:v>
      </x:c>
      <x:c r="G1" s="4" t="str">
        <x:v>Post Text</x:v>
      </x:c>
      <x:c r="H1" s="4" t="str">
        <x:v>Hashtags</x:v>
      </x:c>
      <x:c r="I1" s="4" t="str">
        <x:v>Mentions / Tagged</x:v>
      </x:c>
      <x:c r="J1" s="4" t="str">
        <x:v>Comments</x:v>
      </x:c>
      <x:c r="K1" s="4" t="str">
        <x:v>Likes</x:v>
      </x:c>
      <x:c r="L1" s="4" t="str">
        <x:v>Plays</x:v>
      </x:c>
      <x:c r="M1" s="4" t="str">
        <x:v>Shares</x:v>
      </x:c>
      <x:c r="N1" s="4" t="str">
        <x:v>Source URL</x:v>
      </x:c>
      <x:c r="O1" s="4" t="str">
        <x:v>Style Signals</x:v>
      </x:c>
      <x:c r="P1" s="4" t="str">
        <x:v>Preliminary Bucket</x:v>
      </x:c>
      <x:c r="Q1" s="4" t="str">
        <x:v>Target Signal Candidate</x:v>
      </x:c>
      <x:c r="R1" s="4" t="str">
        <x:v>Gate Decision</x:v>
      </x:c>
      <x:c r="S1" s="4" t="str">
        <x:v>LLM Review?</x:v>
      </x:c>
      <x:c r="T1" s="4" t="str">
        <x:v>Gate Reason</x:v>
      </x:c>
    </x:row>
    <x:row r="2">
      <x:c r="A2" s="6" t="str">
        <x:v>Instagram</x:v>
      </x:c>
      <x:c r="B2" s="7" t="str">
        <x:v>IG hashtag</x:v>
      </x:c>
      <x:c r="C2" s="7" t="str">
        <x:v>3921818661715907780</x:v>
      </x:c>
      <x:c r="D2" s="15" t="n">
        <x:v>46190.958819444444</x:v>
      </x:c>
      <x:c r="E2" s="7" t="str">
        <x:v>palaistheatre</x:v>
      </x:c>
      <x:c r="F2" s="7" t="str">
        <x:v>Sidecar</x:v>
      </x:c>
      <x:c r="G2" s="18" t="str">
        <x:v>⭐ 𝗪𝗜𝗡 𝗧𝗛𝗘 𝗚𝗢𝗟𝗗𝗘𝗡 𝗧𝗜𝗖𝗞𝗘𝗧 𝗔𝗧 𝗣𝗔𝗟𝗔𝗜𝗦 𝗧𝗛𝗘𝗔𝗧𝗥𝗘 ⭐⁠ ⁠ Thanks to American Apparel, one lucky winner will score 10x double passes to shows of their choice at Palais Theatre over the next 12 months 🎟️⁠ ⁠ To enter:⁠ 👉 Follow @americanapparelanz and @palaistheatre⁠ ❤️ Like this post⁠ 👯 Tag your +1⁠ ⁠ ➡️ Swipe for details to win ➡️ ⁠ Good luck 🤞 *T&amp;Cs apply ⁠ Entries close 11:59PM Tuesday 23 June https://www.palaistheatre.com.au/competitions ~⁠ #giveaway #win #goldenticket #palaistheatre #americanapparel #melbourneevents #seeitlive #nightoutmelbourne</x:v>
      </x:c>
      <x:c r="H2" s="18" t="str">
        <x:v>#giveaway #win #goldenticket #palaistheatre #americanapparel #melbourneevents #seeitlive #nightoutmelbourne</x:v>
      </x:c>
      <x:c r="I2" s="18" t="str">
        <x:v>@americanapparelanz @palaistheatre</x:v>
      </x:c>
      <x:c r="J2" s="24" t="n">
        <x:v>1347</x:v>
      </x:c>
      <x:c r="K2" s="24" t="n">
        <x:v>640</x:v>
      </x:c>
      <x:c r="L2" s="24" t="n">
        <x:v>0</x:v>
      </x:c>
      <x:c r="M2" s="24" t="n">
        <x:v>0</x:v>
      </x:c>
      <x:c r="N2" s="18" t="str">
        <x:v>https://www.instagram.com/p/DZtGUtNExTE/</x:v>
      </x:c>
      <x:c r="O2" s="18" t="str"/>
      <x:c r="P2" s="18" t="str">
        <x:v>Giveaway / promotion</x:v>
      </x:c>
      <x:c r="Q2" s="18" t="str">
        <x:v>No</x:v>
      </x:c>
      <x:c r="R2" s="18" t="str">
        <x:v>Separate from organic</x:v>
      </x:c>
      <x:c r="S2" s="18" t="str">
        <x:v>No</x:v>
      </x:c>
      <x:c r="T2" s="21" t="str">
        <x:v>High comment volume is driven by entry mechanics and must be separated from organic perception.</x:v>
      </x:c>
    </x:row>
    <x:row r="3">
      <x:c r="A3" s="9" t="str">
        <x:v>Instagram</x:v>
      </x:c>
      <x:c r="B3" s="10" t="str">
        <x:v>IG hashtag</x:v>
      </x:c>
      <x:c r="C3" s="10" t="str">
        <x:v>3921818657085932633</x:v>
      </x:c>
      <x:c r="D3" s="16" t="n">
        <x:v>46190.95880787037</x:v>
      </x:c>
      <x:c r="E3" s="10" t="str">
        <x:v>festivalhallmelbourne</x:v>
      </x:c>
      <x:c r="F3" s="10" t="str">
        <x:v>Sidecar</x:v>
      </x:c>
      <x:c r="G3" s="19" t="str">
        <x:v>⭐ 𝗪𝗜𝗡 𝗧𝗛𝗘 𝗚𝗢𝗟𝗗𝗘𝗡 𝗧𝗜𝗖𝗞𝗘𝗧 𝗔𝗧 𝗙𝗘𝗦𝗧𝗜𝗩𝗔𝗟 𝗛𝗔𝗟𝗟 ⭐⁠ ⁠ Thanks to American Apparel, one lucky winner will score 10x double passes to shows of their choice at Festival Hall over the next 12 months 🎟️⁠ ⁠ To enter:⁠ 👉 Follow @americanapparelanz and @festivalhallmelbourne⁠ ❤️ Like the Instagram post⁠ 👯 Tag your +1⁠ ⁠ ➡️ Swipe for details to win ➡️ ⁠ Good luck 🤞 *T&amp;Cs apply ⁠ Entries close 11:59PM Tuesday 23 June http://festivalhall.com.au/competitions ~⁠ #giveaway #win #goldenticket #festivalhall #americanapparel #melbourneevents #seeitlive #nightoutmelbourne</x:v>
      </x:c>
      <x:c r="H3" s="19" t="str">
        <x:v>#giveaway #win #goldenticket #festivalhall #americanapparel #melbourneevents #seeitlive #nightoutmelbourne</x:v>
      </x:c>
      <x:c r="I3" s="19" t="str">
        <x:v>@americanapparelanz @festivalhallmelbourne</x:v>
      </x:c>
      <x:c r="J3" s="25" t="n">
        <x:v>479</x:v>
      </x:c>
      <x:c r="K3" s="25" t="n">
        <x:v>278</x:v>
      </x:c>
      <x:c r="L3" s="25" t="n">
        <x:v>0</x:v>
      </x:c>
      <x:c r="M3" s="25" t="n">
        <x:v>0</x:v>
      </x:c>
      <x:c r="N3" s="19" t="str">
        <x:v>https://www.instagram.com/p/DZtGUo5G0RZ/</x:v>
      </x:c>
      <x:c r="O3" s="19" t="str"/>
      <x:c r="P3" s="19" t="str">
        <x:v>Giveaway / promotion</x:v>
      </x:c>
      <x:c r="Q3" s="19" t="str">
        <x:v>No</x:v>
      </x:c>
      <x:c r="R3" s="19" t="str">
        <x:v>Separate from organic</x:v>
      </x:c>
      <x:c r="S3" s="19" t="str">
        <x:v>No</x:v>
      </x:c>
      <x:c r="T3" s="22" t="str">
        <x:v>High comment volume is driven by entry mechanics and must be separated from organic perception.</x:v>
      </x:c>
    </x:row>
    <x:row r="4">
      <x:c r="A4" s="9" t="str">
        <x:v>Instagram</x:v>
      </x:c>
      <x:c r="B4" s="10" t="str">
        <x:v>IG mention</x:v>
      </x:c>
      <x:c r="C4" s="10" t="str">
        <x:v>3931270423849716983</x:v>
      </x:c>
      <x:c r="D4" s="16" t="n">
        <x:v>46203.99972222222</x:v>
      </x:c>
      <x:c r="E4" s="10" t="str">
        <x:v>luxalot</x:v>
      </x:c>
      <x:c r="F4" s="10" t="str">
        <x:v>Sidecar</x:v>
      </x:c>
      <x:c r="G4" s="19" t="str">
        <x:v>all the styling for my girl @rachelwolfson for the @jackass premiere, promos, and pride!🌈🐅⚡️ 1. Dress: @ronnykobo Jewelry: @bhunicorn Shoes: @kennethcole Bag: @olgabergofficial Makeup: @seriouslymofun Hair: @buddywporter Glow: @globyflo.official 2. Top: @discountuniverse Shorts: @americanapparel Boots: @gianvitorossi HMUA: @cutegirlmorkin 3. Skirt Set: @reformation Shoes: @stevemadden Bag: @jwpei_official HMA: @seriouslymofun 6. Skirt: @camilacoelho Jacket: @dolcegabbana Top: @therubyla Rings: @alexandani + @oakandluna Bag: @prada MHUA: @cutegirlmorkin @cldstyle 7. &amp; 12. all from @bhunicorn✨</x:v>
      </x:c>
      <x:c r="H4" s="19" t="str"/>
      <x:c r="I4" s="19" t="str">
        <x:v>@rachelwolfson @jackass @ronnykobo @bhunicorn @kennethcole @olgabergofficial @seriouslymofun @buddywporter @globyflo.official @discountuniverse @americanapparel @gianvitorossi @cutegirlmorkin @reformation @stevemadden @jwpei_official @camilacoelho @dolcegabbana @therubyla @alexandani @oakandluna @pr</x:v>
      </x:c>
      <x:c r="J4" s="25" t="n">
        <x:v>93</x:v>
      </x:c>
      <x:c r="K4" s="25" t="n">
        <x:v>3593</x:v>
      </x:c>
      <x:c r="L4" s="25" t="n">
        <x:v>0</x:v>
      </x:c>
      <x:c r="M4" s="25" t="n">
        <x:v>0</x:v>
      </x:c>
      <x:c r="N4" s="19" t="str">
        <x:v>https://www.instagram.com/p/DaOrZ8pj8z3/</x:v>
      </x:c>
      <x:c r="O4" s="19" t="str"/>
      <x:c r="P4" s="19" t="str">
        <x:v>Likely relevant</x:v>
      </x:c>
      <x:c r="Q4" s="19" t="str">
        <x:v>No</x:v>
      </x:c>
      <x:c r="R4" s="19" t="str">
        <x:v>LLM then scrape 30</x:v>
      </x:c>
      <x:c r="S4" s="19" t="str">
        <x:v>Yes</x:v>
      </x:c>
      <x:c r="T4" s="22" t="str">
        <x:v>The post explicitly names/tags American Apparel or an identified AA product/style.</x:v>
      </x:c>
    </x:row>
    <x:row r="5">
      <x:c r="A5" s="9" t="str">
        <x:v>Instagram</x:v>
      </x:c>
      <x:c r="B5" s="10" t="str">
        <x:v>IG mention</x:v>
      </x:c>
      <x:c r="C5" s="10" t="str">
        <x:v>3920166440132969206</x:v>
      </x:c>
      <x:c r="D5" s="16" t="n">
        <x:v>46188.679143518515</x:v>
      </x:c>
      <x:c r="E5" s="10" t="str">
        <x:v>jadecasagrande</x:v>
      </x:c>
      <x:c r="F5" s="10" t="str">
        <x:v>Sidecar</x:v>
      </x:c>
      <x:c r="G5" s="19" t="str"/>
      <x:c r="H5" s="19" t="str"/>
      <x:c r="I5" s="19" t="str">
        <x:v>@loewe @ysl @sessun @americanapparel @veronicabeard @gant @miumiu @adanola</x:v>
      </x:c>
      <x:c r="J5" s="25" t="n">
        <x:v>40</x:v>
      </x:c>
      <x:c r="K5" s="25" t="n">
        <x:v>3339</x:v>
      </x:c>
      <x:c r="L5" s="25" t="n">
        <x:v>0</x:v>
      </x:c>
      <x:c r="M5" s="25" t="n">
        <x:v>0</x:v>
      </x:c>
      <x:c r="N5" s="19" t="str">
        <x:v>https://www.instagram.com/p/DZnOpt8iIL2/</x:v>
      </x:c>
      <x:c r="O5" s="19" t="str"/>
      <x:c r="P5" s="19" t="str">
        <x:v>Ambiguous / incidental</x:v>
      </x:c>
      <x:c r="Q5" s="19" t="str">
        <x:v>No</x:v>
      </x:c>
      <x:c r="R5" s="19" t="str">
        <x:v>LLM then scrape 30</x:v>
      </x:c>
      <x:c r="S5" s="19" t="str">
        <x:v>Yes</x:v>
      </x:c>
      <x:c r="T5" s="22" t="str">
        <x:v>The brand is discovered through a tag/mention but is not clearly the subject of the caption.</x:v>
      </x:c>
    </x:row>
    <x:row r="6">
      <x:c r="A6" s="9" t="str">
        <x:v>Instagram</x:v>
      </x:c>
      <x:c r="B6" s="10" t="str">
        <x:v>IG mention</x:v>
      </x:c>
      <x:c r="C6" s="10" t="str">
        <x:v>3926701609517914732</x:v>
      </x:c>
      <x:c r="D6" s="16" t="n">
        <x:v>46197.69917824074</x:v>
      </x:c>
      <x:c r="E6" s="10" t="str">
        <x:v>j_honey_5</x:v>
      </x:c>
      <x:c r="F6" s="10" t="str">
        <x:v>Video</x:v>
      </x:c>
      <x:c r="G6" s="19" t="str">
        <x:v>The lamp was the beginning. The legend is me. ✨🧞‍♀️✨ #versace #fyp #facecard #explore #reelsfypシ</x:v>
      </x:c>
      <x:c r="H6" s="19" t="str">
        <x:v>#versace #fyp #facecard #explore #reelsfypシ</x:v>
      </x:c>
      <x:c r="I6" s="19" t="str">
        <x:v>@versace @monai.the.muse @americanapparel @donatella_versace @knotjustbraidsllc</x:v>
      </x:c>
      <x:c r="J6" s="25" t="n">
        <x:v>38</x:v>
      </x:c>
      <x:c r="K6" s="25" t="n">
        <x:v>-1</x:v>
      </x:c>
      <x:c r="L6" s="25" t="n">
        <x:v>0</x:v>
      </x:c>
      <x:c r="M6" s="25" t="n">
        <x:v>0</x:v>
      </x:c>
      <x:c r="N6" s="19" t="str">
        <x:v>https://www.instagram.com/p/DZ-ck8uRRps/</x:v>
      </x:c>
      <x:c r="O6" s="19" t="str"/>
      <x:c r="P6" s="19" t="str">
        <x:v>Ambiguous / incidental</x:v>
      </x:c>
      <x:c r="Q6" s="19" t="str">
        <x:v>No</x:v>
      </x:c>
      <x:c r="R6" s="19" t="str">
        <x:v>LLM then scrape 30</x:v>
      </x:c>
      <x:c r="S6" s="19" t="str">
        <x:v>Yes</x:v>
      </x:c>
      <x:c r="T6" s="22" t="str">
        <x:v>The brand is discovered through a tag/mention but is not clearly the subject of the caption.</x:v>
      </x:c>
    </x:row>
    <x:row r="7">
      <x:c r="A7" s="9" t="str">
        <x:v>Instagram</x:v>
      </x:c>
      <x:c r="B7" s="10" t="str">
        <x:v>IG mention</x:v>
      </x:c>
      <x:c r="C7" s="10" t="str">
        <x:v>3928589140133046851</x:v>
      </x:c>
      <x:c r="D7" s="16" t="n">
        <x:v>46200.30025462963</x:v>
      </x:c>
      <x:c r="E7" s="10" t="str">
        <x:v>so_rhidiculous</x:v>
      </x:c>
      <x:c r="F7" s="10" t="str">
        <x:v>Sidecar</x:v>
      </x:c>
      <x:c r="G7" s="19" t="str">
        <x:v>It’s a Supergirl Summer! Catch @supergirl this weekend in @imax @cineplexmovies 🙌🏽 #Supergirl #WBPartner #DC #Krypto</x:v>
      </x:c>
      <x:c r="H7" s="19" t="str">
        <x:v>#Supergirl #WBPartner #DC #Krypto</x:v>
      </x:c>
      <x:c r="I7" s="19" t="str">
        <x:v>@supergirl @imax @cineplexmovies @americanapparel @dcofficial @warnerbrosca @georgepimentel1 @ybimcto @eyegotyouinc @tematresses @chris_holmes7 @itszaybaybay @the.ali.way @hashtagperpetuallynerdy @iamsupafly</x:v>
      </x:c>
      <x:c r="J7" s="25" t="n">
        <x:v>34</x:v>
      </x:c>
      <x:c r="K7" s="25" t="n">
        <x:v>165</x:v>
      </x:c>
      <x:c r="L7" s="25" t="n">
        <x:v>0</x:v>
      </x:c>
      <x:c r="M7" s="25" t="n">
        <x:v>0</x:v>
      </x:c>
      <x:c r="N7" s="19" t="str">
        <x:v>https://www.instagram.com/p/DaFJwImFmpD/</x:v>
      </x:c>
      <x:c r="O7" s="19" t="str"/>
      <x:c r="P7" s="19" t="str">
        <x:v>Ambiguous / incidental</x:v>
      </x:c>
      <x:c r="Q7" s="19" t="str">
        <x:v>No</x:v>
      </x:c>
      <x:c r="R7" s="19" t="str">
        <x:v>LLM then scrape 30</x:v>
      </x:c>
      <x:c r="S7" s="19" t="str">
        <x:v>Yes</x:v>
      </x:c>
      <x:c r="T7" s="22" t="str">
        <x:v>The brand is discovered through a tag/mention but is not clearly the subject of the caption.</x:v>
      </x:c>
    </x:row>
    <x:row r="8">
      <x:c r="A8" s="9" t="str">
        <x:v>Instagram</x:v>
      </x:c>
      <x:c r="B8" s="10" t="str">
        <x:v>IG mention</x:v>
      </x:c>
      <x:c r="C8" s="10" t="str">
        <x:v>3921027654581060855</x:v>
      </x:c>
      <x:c r="D8" s="16" t="n">
        <x:v>46189.86783564815</x:v>
      </x:c>
      <x:c r="E8" s="10" t="str">
        <x:v>bianca_okoye</x:v>
      </x:c>
      <x:c r="F8" s="10" t="str">
        <x:v>Video</x:v>
      </x:c>
      <x:c r="G8" s="19" t="str">
        <x:v>Once you stop worrying about looking silly, comparing yourself to others, and start focusing on creating, you’ll begin to see the rewards. 💫 It takes time, consistency, PRAYER and the right mindset but trust me, it pays off. 🚀✨</x:v>
      </x:c>
      <x:c r="H8" s="19" t="str"/>
      <x:c r="I8" s="19" t="str">
        <x:v>@benefitcosmetics @coach @americanapparel @clarinsusa @paulaschoice @prettylittlething @hourglasscosmetics @sheamoisture @eosproducts @peachandlily @eyebuydirect @koparibeauty @lancomeofficial @milkmakeup @larocheposayusa @armanibeauty @drinkolipop @luckygirlrose @tphbytaraji @naturium</x:v>
      </x:c>
      <x:c r="J8" s="25" t="n">
        <x:v>32</x:v>
      </x:c>
      <x:c r="K8" s="25" t="n">
        <x:v>54</x:v>
      </x:c>
      <x:c r="L8" s="25" t="n">
        <x:v>0</x:v>
      </x:c>
      <x:c r="M8" s="25" t="n">
        <x:v>0</x:v>
      </x:c>
      <x:c r="N8" s="19" t="str">
        <x:v>https://www.instagram.com/p/DZqSeCZyYT3/</x:v>
      </x:c>
      <x:c r="O8" s="19" t="str"/>
      <x:c r="P8" s="19" t="str">
        <x:v>Ambiguous / incidental</x:v>
      </x:c>
      <x:c r="Q8" s="19" t="str">
        <x:v>No</x:v>
      </x:c>
      <x:c r="R8" s="19" t="str">
        <x:v>LLM then scrape 30</x:v>
      </x:c>
      <x:c r="S8" s="19" t="str">
        <x:v>Yes</x:v>
      </x:c>
      <x:c r="T8" s="22" t="str">
        <x:v>The brand is discovered through a tag/mention but is not clearly the subject of the caption.</x:v>
      </x:c>
    </x:row>
    <x:row r="9">
      <x:c r="A9" s="9" t="str">
        <x:v>Instagram</x:v>
      </x:c>
      <x:c r="B9" s="10" t="str">
        <x:v>IG mention</x:v>
      </x:c>
      <x:c r="C9" s="10" t="str">
        <x:v>3928217094522678263</x:v>
      </x:c>
      <x:c r="D9" s="16" t="n">
        <x:v>46199.788773148146</x:v>
      </x:c>
      <x:c r="E9" s="10" t="str">
        <x:v>itskiiaxo</x:v>
      </x:c>
      <x:c r="F9" s="10" t="str">
        <x:v>Video</x:v>
      </x:c>
      <x:c r="G9" s="19" t="str">
        <x:v>Another day, another round of golf ⛳️ #golf #sports #fun #activity #virtualgolf</x:v>
      </x:c>
      <x:c r="H9" s="19" t="str">
        <x:v>#golf #sports #fun #activity #virtualgolf</x:v>
      </x:c>
      <x:c r="I9" s="19" t="str">
        <x:v>@dynamiteclothing @americanapparel @callawaygolf @damien_dream @prettylittlething @titleistca @bombshellsportswear @taylormade_ca @ping.golf @romwe @dimadavydov97 @callawayapparel @shein_ca @amazonca @amazonessentials @prettygarden.official @muni.mtl @golfenvillemtl @lebirdie.golf @fikagolf.montreal</x:v>
      </x:c>
      <x:c r="J9" s="25" t="n">
        <x:v>31</x:v>
      </x:c>
      <x:c r="K9" s="25" t="n">
        <x:v>65</x:v>
      </x:c>
      <x:c r="L9" s="25" t="n">
        <x:v>0</x:v>
      </x:c>
      <x:c r="M9" s="25" t="n">
        <x:v>0</x:v>
      </x:c>
      <x:c r="N9" s="19" t="str">
        <x:v>https://www.instagram.com/p/DaD1KKHpCv3/</x:v>
      </x:c>
      <x:c r="O9" s="19" t="str"/>
      <x:c r="P9" s="19" t="str">
        <x:v>Ambiguous / incidental</x:v>
      </x:c>
      <x:c r="Q9" s="19" t="str">
        <x:v>No</x:v>
      </x:c>
      <x:c r="R9" s="19" t="str">
        <x:v>LLM then scrape 30</x:v>
      </x:c>
      <x:c r="S9" s="19" t="str">
        <x:v>Yes</x:v>
      </x:c>
      <x:c r="T9" s="22" t="str">
        <x:v>The brand is discovered through a tag/mention but is not clearly the subject of the caption.</x:v>
      </x:c>
    </x:row>
    <x:row r="10">
      <x:c r="A10" s="9" t="str">
        <x:v>Instagram</x:v>
      </x:c>
      <x:c r="B10" s="10" t="str">
        <x:v>IG mention</x:v>
      </x:c>
      <x:c r="C10" s="10" t="str">
        <x:v>3921618575934157353</x:v>
      </x:c>
      <x:c r="D10" s="16" t="n">
        <x:v>46190.682708333334</x:v>
      </x:c>
      <x:c r="E10" s="10" t="str">
        <x:v>brookehhall</x:v>
      </x:c>
      <x:c r="F10" s="10" t="str">
        <x:v>Sidecar</x:v>
      </x:c>
      <x:c r="G10" s="19" t="str">
        <x:v>My recent HAD TO HAVES! From Amazon shorts to a sarong for the beach, these are some of my new favorites! Comment LINK for details 😘</x:v>
      </x:c>
      <x:c r="H10" s="19" t="str"/>
      <x:c r="I10" s="19" t="str">
        <x:v>@americanapparel @amazonfashion @spanx @wiskiiactive @ramybrook @alpnrock @sitano_official @dillards @anthropologie @tuckernuck @susanshaw @zsupply @zara</x:v>
      </x:c>
      <x:c r="J10" s="25" t="n">
        <x:v>30</x:v>
      </x:c>
      <x:c r="K10" s="25" t="n">
        <x:v>46</x:v>
      </x:c>
      <x:c r="L10" s="25" t="n">
        <x:v>0</x:v>
      </x:c>
      <x:c r="M10" s="25" t="n">
        <x:v>0</x:v>
      </x:c>
      <x:c r="N10" s="19" t="str">
        <x:v>https://www.instagram.com/p/DZsY1EzIPIp/</x:v>
      </x:c>
      <x:c r="O10" s="19" t="str"/>
      <x:c r="P10" s="19" t="str">
        <x:v>Ambiguous / incidental</x:v>
      </x:c>
      <x:c r="Q10" s="19" t="str">
        <x:v>No</x:v>
      </x:c>
      <x:c r="R10" s="19" t="str">
        <x:v>LLM then scrape 30</x:v>
      </x:c>
      <x:c r="S10" s="19" t="str">
        <x:v>Yes</x:v>
      </x:c>
      <x:c r="T10" s="22" t="str">
        <x:v>The brand is discovered through a tag/mention but is not clearly the subject of the caption.</x:v>
      </x:c>
    </x:row>
    <x:row r="11">
      <x:c r="A11" s="9" t="str">
        <x:v>Instagram</x:v>
      </x:c>
      <x:c r="B11" s="10" t="str">
        <x:v>IG mention</x:v>
      </x:c>
      <x:c r="C11" s="10" t="str">
        <x:v>3926994467219952268</x:v>
      </x:c>
      <x:c r="D11" s="16" t="n">
        <x:v>46198.100023148145</x:v>
      </x:c>
      <x:c r="E11" s="10" t="str">
        <x:v>chelseamato</x:v>
      </x:c>
      <x:c r="F11" s="10" t="str">
        <x:v>Sidecar</x:v>
      </x:c>
      <x:c r="G11" s="19" t="str">
        <x:v>@indiesleaze</x:v>
      </x:c>
      <x:c r="H11" s="19" t="str"/>
      <x:c r="I11" s="19" t="str">
        <x:v>@indiesleaze @sweetlikesaul @helloamandabrown @amanduhhfaye @americanapparel @katsparklez @nish3000 @k80stew @lizmundle</x:v>
      </x:c>
      <x:c r="J11" s="25" t="n">
        <x:v>22</x:v>
      </x:c>
      <x:c r="K11" s="25" t="n">
        <x:v>199</x:v>
      </x:c>
      <x:c r="L11" s="25" t="n">
        <x:v>0</x:v>
      </x:c>
      <x:c r="M11" s="25" t="n">
        <x:v>0</x:v>
      </x:c>
      <x:c r="N11" s="19" t="str">
        <x:v>https://www.instagram.com/p/DZ_fKltkdKM/</x:v>
      </x:c>
      <x:c r="O11" s="19" t="str"/>
      <x:c r="P11" s="19" t="str">
        <x:v>Ambiguous / incidental</x:v>
      </x:c>
      <x:c r="Q11" s="19" t="str">
        <x:v>No</x:v>
      </x:c>
      <x:c r="R11" s="19" t="str">
        <x:v>LLM then scrape 30</x:v>
      </x:c>
      <x:c r="S11" s="19" t="str">
        <x:v>Yes</x:v>
      </x:c>
      <x:c r="T11" s="22" t="str">
        <x:v>The brand is discovered through a tag/mention but is not clearly the subject of the caption.</x:v>
      </x:c>
    </x:row>
    <x:row r="12">
      <x:c r="A12" s="9" t="str">
        <x:v>Instagram</x:v>
      </x:c>
      <x:c r="B12" s="10" t="str">
        <x:v>IG mention</x:v>
      </x:c>
      <x:c r="C12" s="10" t="str">
        <x:v>3927935509327010353</x:v>
      </x:c>
      <x:c r="D12" s="16" t="n">
        <x:v>46199.398414351854</x:v>
      </x:c>
      <x:c r="E12" s="10" t="str">
        <x:v>pinoxkino</x:v>
      </x:c>
      <x:c r="F12" s="10" t="str">
        <x:v>Sidecar</x:v>
      </x:c>
      <x:c r="G12" s="19" t="str">
        <x:v>• #협찬 @americanapparel 👕아메리칸어패럴 박시핏 나시티 무더운 여름 시원하게 입을 나시티✨ #아메리칸어패럴 #나시티 #머슬핏 오늘 내용이 도움 되셨다면 : 좋아요, 저장, 공유🙏 @pinoxkino @pinoxkino @pinoxkino 🖥️Purchasing Site • https://gildan.co.kr/category/207gd203g-usa/424 🎶Song • @chrisbrownofficial - #summertoohot</x:v>
      </x:c>
      <x:c r="H12" s="19" t="str">
        <x:v>#협찬 #아메리칸어패럴 #나시티 #머슬핏 #summertoohot</x:v>
      </x:c>
      <x:c r="I12" s="19" t="str">
        <x:v>@americanapparel @pinoxkino @chrisbrownofficial @stussy @gildan_korea @americanapparelanz</x:v>
      </x:c>
      <x:c r="J12" s="25" t="n">
        <x:v>20</x:v>
      </x:c>
      <x:c r="K12" s="25" t="n">
        <x:v>144</x:v>
      </x:c>
      <x:c r="L12" s="25" t="n">
        <x:v>0</x:v>
      </x:c>
      <x:c r="M12" s="25" t="n">
        <x:v>0</x:v>
      </x:c>
      <x:c r="N12" s="19" t="str">
        <x:v>https://www.instagram.com/p/DaC1IjeFFox/</x:v>
      </x:c>
      <x:c r="O12" s="19" t="str"/>
      <x:c r="P12" s="19" t="str">
        <x:v>Likely relevant</x:v>
      </x:c>
      <x:c r="Q12" s="19" t="str">
        <x:v>No</x:v>
      </x:c>
      <x:c r="R12" s="19" t="str">
        <x:v>LLM then scrape 30</x:v>
      </x:c>
      <x:c r="S12" s="19" t="str">
        <x:v>Yes</x:v>
      </x:c>
      <x:c r="T12" s="22" t="str">
        <x:v>The post explicitly names/tags American Apparel or an identified AA product/style.</x:v>
      </x:c>
    </x:row>
    <x:row r="13">
      <x:c r="A13" s="9" t="str">
        <x:v>Instagram</x:v>
      </x:c>
      <x:c r="B13" s="10" t="str">
        <x:v>IG mention</x:v>
      </x:c>
      <x:c r="C13" s="10" t="str">
        <x:v>3926623745675536808</x:v>
      </x:c>
      <x:c r="D13" s="16" t="n">
        <x:v>46197.58851851852</x:v>
      </x:c>
      <x:c r="E13" s="10" t="str">
        <x:v>i_am_yonxx</x:v>
      </x:c>
      <x:c r="F13" s="10" t="str">
        <x:v>Sidecar</x:v>
      </x:c>
      <x:c r="G13" s="19" t="str">
        <x:v>주말에 옷정리를 위해 장롱을 열어보다가 발견한! 아메리칸 어패럴을 아시나요? 진짜 제가 엄청 좋아했었음. 에첸엠옷은 환불할껄 그랬고 코랄이랑 하늘색은 친구주기로 했고 암튼 빨간색옷도 참 많네. 저는 옷살때 왠만하면 환불은 안해요. 왜냐면 귀찮거든요. COS H&amp;M ZARA는 사이즈를 잘 알아서 환불한일이 0.1% 인데 이번엔 전부 H&amp;M 환불을 안한걸 후회중 . 입을 옷이 많은거같은데 왜케 별로지. 일단 내일부터 매일 20km뛰면 살이빠질까? 를 해볼게요 🥹✨🔥🩷💚🏃🏻‍♀️‍➡️🏃🏽‍♀️🐈🐩💐🌷💕🩵💙하 진짜 뭔가 왜이렇게 별로지</x:v>
      </x:c>
      <x:c r="H13" s="19" t="str"/>
      <x:c r="I13" s="19" t="str">
        <x:v>@americanapparel</x:v>
      </x:c>
      <x:c r="J13" s="25" t="n">
        <x:v>16</x:v>
      </x:c>
      <x:c r="K13" s="25" t="n">
        <x:v>139</x:v>
      </x:c>
      <x:c r="L13" s="25" t="n">
        <x:v>0</x:v>
      </x:c>
      <x:c r="M13" s="25" t="n">
        <x:v>0</x:v>
      </x:c>
      <x:c r="N13" s="19" t="str">
        <x:v>https://www.instagram.com/p/DZ-K34Xmqmo/</x:v>
      </x:c>
      <x:c r="O13" s="19" t="str"/>
      <x:c r="P13" s="19" t="str">
        <x:v>Likely relevant</x:v>
      </x:c>
      <x:c r="Q13" s="19" t="str">
        <x:v>Review — nostalgia/awareness adjacent</x:v>
      </x:c>
      <x:c r="R13" s="19" t="str">
        <x:v>Scrape comments</x:v>
      </x:c>
      <x:c r="S13" s="19" t="str">
        <x:v>Yes</x:v>
      </x:c>
      <x:c r="T13" s="22" t="str">
        <x:v>The post explicitly names/tags American Apparel or an identified AA product/style.</x:v>
      </x:c>
    </x:row>
    <x:row r="14">
      <x:c r="A14" s="9" t="str">
        <x:v>Instagram</x:v>
      </x:c>
      <x:c r="B14" s="10" t="str">
        <x:v>IG mention</x:v>
      </x:c>
      <x:c r="C14" s="10" t="str">
        <x:v>3928858511220665534</x:v>
      </x:c>
      <x:c r="D14" s="16" t="n">
        <x:v>46200.67190972222</x:v>
      </x:c>
      <x:c r="E14" s="10" t="str">
        <x:v>84.parksang_</x:v>
      </x:c>
      <x:c r="F14" s="10" t="str">
        <x:v>Sidecar</x:v>
      </x:c>
      <x:c r="G14" s="19" t="str">
        <x:v>동네 한 바퀴 #연신내 동네 마실이었는데 추억까지😘 학창시절을 함께한 음악의 주인공 #djdoc🎤🔥 이하늘&amp;정재용 형님의 #형제곱창 마무리는 역시 #ymcoffeproject 커피 한 잔☕️🤎 좋은 사람, 좋은 음식, 좋은 커피. 멀리 갈 필요 없던 하루💕 ๑ top : @americanapparel ๑ denim : @levis ๑ shoes : @vans x @rhude ๑ acc : @tefstores</x:v>
      </x:c>
      <x:c r="H14" s="19" t="str">
        <x:v>#연신내 #djdoc🎤🔥 #형제곱창 #ymcoffeproject</x:v>
      </x:c>
      <x:c r="I14" s="19" t="str">
        <x:v>@americanapparel @levis @vans @rhude @tefstores @ymcoffeeproject @hyungjae_gobchang</x:v>
      </x:c>
      <x:c r="J14" s="25" t="n">
        <x:v>15</x:v>
      </x:c>
      <x:c r="K14" s="25" t="n">
        <x:v>179</x:v>
      </x:c>
      <x:c r="L14" s="25" t="n">
        <x:v>0</x:v>
      </x:c>
      <x:c r="M14" s="25" t="n">
        <x:v>0</x:v>
      </x:c>
      <x:c r="N14" s="19" t="str">
        <x:v>https://www.instagram.com/p/DaGG__-E-y-/</x:v>
      </x:c>
      <x:c r="O14" s="19" t="str"/>
      <x:c r="P14" s="19" t="str">
        <x:v>Likely relevant</x:v>
      </x:c>
      <x:c r="Q14" s="19" t="str">
        <x:v>No</x:v>
      </x:c>
      <x:c r="R14" s="19" t="str">
        <x:v>Scrape comments</x:v>
      </x:c>
      <x:c r="S14" s="19" t="str">
        <x:v>No</x:v>
      </x:c>
      <x:c r="T14" s="22" t="str">
        <x:v>The post explicitly names/tags American Apparel or an identified AA product/style.</x:v>
      </x:c>
    </x:row>
    <x:row r="15">
      <x:c r="A15" s="9" t="str">
        <x:v>Instagram</x:v>
      </x:c>
      <x:c r="B15" s="10" t="str">
        <x:v>IG hashtag</x:v>
      </x:c>
      <x:c r="C15" s="10" t="str">
        <x:v>3928870301786724140</x:v>
      </x:c>
      <x:c r="D15" s="16" t="n">
        <x:v>46200.687523148146</x:v>
      </x:c>
      <x:c r="E15" s="10" t="str">
        <x:v>maykozlowska</x:v>
      </x:c>
      <x:c r="F15" s="10" t="str">
        <x:v>Sidecar</x:v>
      </x:c>
      <x:c r="G15" s="19" t="str">
        <x:v>#tumblr2014 #tumblraesthetic #americanapparel #indiesleaze #internetangel</x:v>
      </x:c>
      <x:c r="H15" s="19" t="str">
        <x:v>#tumblr2014 #tumblraesthetic #americanapparel #indiesleaze #internetangel</x:v>
      </x:c>
      <x:c r="I15" s="19" t="str"/>
      <x:c r="J15" s="25" t="n">
        <x:v>15</x:v>
      </x:c>
      <x:c r="K15" s="25" t="n">
        <x:v>442</x:v>
      </x:c>
      <x:c r="L15" s="25" t="n">
        <x:v>0</x:v>
      </x:c>
      <x:c r="M15" s="25" t="n">
        <x:v>0</x:v>
      </x:c>
      <x:c r="N15" s="19" t="str">
        <x:v>https://www.instagram.com/p/DaGJrkylFcs/</x:v>
      </x:c>
      <x:c r="O15" s="19" t="str"/>
      <x:c r="P15" s="19" t="str">
        <x:v>Likely relevant</x:v>
      </x:c>
      <x:c r="Q15" s="19" t="str">
        <x:v>No</x:v>
      </x:c>
      <x:c r="R15" s="19" t="str">
        <x:v>Scrape comments</x:v>
      </x:c>
      <x:c r="S15" s="19" t="str">
        <x:v>No</x:v>
      </x:c>
      <x:c r="T15" s="22" t="str">
        <x:v>The post explicitly names/tags American Apparel or an identified AA product/style.</x:v>
      </x:c>
    </x:row>
    <x:row r="16">
      <x:c r="A16" s="9" t="str">
        <x:v>Instagram</x:v>
      </x:c>
      <x:c r="B16" s="10" t="str">
        <x:v>IG hashtag</x:v>
      </x:c>
      <x:c r="C16" s="10" t="str">
        <x:v>3929485437211615002</x:v>
      </x:c>
      <x:c r="D16" s="16" t="n">
        <x:v>46201.53690972222</x:v>
      </x:c>
      <x:c r="E16" s="10" t="str">
        <x:v>avart.std</x:v>
      </x:c>
      <x:c r="F16" s="10" t="str">
        <x:v>Sidecar</x:v>
      </x:c>
      <x:c r="G16" s="19" t="str">
        <x:v>DESIGN FOR SALE!! SPECIAL COLLABORATION ( @avart.std x @wfs.std x @vestle.dsg ) DESIGN: SLIDE 2 : DM ( @avart.std ) SLIDE 3 : DM ( @wfs.std ) SLIDE 3 : DM ( @vestle.dsg ) INCLUDED FILES: • PSD (SOURCE FILE), PNG (PREVIEW MOCKUP), AND MOCKUP FOR FREE. • TEXT &amp; COLORS CAN BE CHANGED. DM FOR PRICE &amp; INFORMATION ❕ #designforsale #streetwearbrand #tshirtdesign #brandowner #streetwearusa</x:v>
      </x:c>
      <x:c r="H16" s="19" t="str">
        <x:v>#designforsale #streetwearbrand #tshirtdesign #brandowner #streetwearusa</x:v>
      </x:c>
      <x:c r="I16" s="19" t="str">
        <x:v>@avart.std @wfs.std @vestle.dsg @pappiiq @thegvgallery @hmddla_ @palyhollywood</x:v>
      </x:c>
      <x:c r="J16" s="25" t="n">
        <x:v>15</x:v>
      </x:c>
      <x:c r="K16" s="25" t="n">
        <x:v>25</x:v>
      </x:c>
      <x:c r="L16" s="25" t="n">
        <x:v>0</x:v>
      </x:c>
      <x:c r="M16" s="25" t="n">
        <x:v>0</x:v>
      </x:c>
      <x:c r="N16" s="19" t="str">
        <x:v>https://www.instagram.com/p/DaIVi-TEZ8a/</x:v>
      </x:c>
      <x:c r="O16" s="19" t="str"/>
      <x:c r="P16" s="19" t="str">
        <x:v>Design-sale noise</x:v>
      </x:c>
      <x:c r="Q16" s="19" t="str">
        <x:v>No</x:v>
      </x:c>
      <x:c r="R16" s="19" t="str">
        <x:v>Skip</x:v>
      </x:c>
      <x:c r="S16" s="19" t="str">
        <x:v>No</x:v>
      </x:c>
      <x:c r="T16" s="22" t="str">
        <x:v>Design/mockup sale language; not consumer discussion of American Apparel.</x:v>
      </x:c>
    </x:row>
    <x:row r="17">
      <x:c r="A17" s="9" t="str">
        <x:v>TikTok</x:v>
      </x:c>
      <x:c r="B17" s="10" t="str">
        <x:v>TikTok hashtag — pilot</x:v>
      </x:c>
      <x:c r="C17" s="10" t="str">
        <x:v>7656568396028366111</x:v>
      </x:c>
      <x:c r="D17" s="16" t="n">
        <x:v>46201.91395833333</x:v>
      </x:c>
      <x:c r="E17" s="10" t="str">
        <x:v>hellofromniko</x:v>
      </x:c>
      <x:c r="F17" s="10" t="str">
        <x:v>Video</x:v>
      </x:c>
      <x:c r="G17" s="19" t="str">
        <x:v>Replying to @Kevs Let’s talk blanks! Here are the two t-shirts I use for my screen printing projects! Hope this helps! @everybody.world #screenprinting #screenprint #blanks #tshirts #diy</x:v>
      </x:c>
      <x:c r="H17" s="19" t="str">
        <x:v>#screenprinting #screenprint #blanks #tshirts #diy</x:v>
      </x:c>
      <x:c r="I17" s="19" t="str">
        <x:v>@Kevs @everybody.world</x:v>
      </x:c>
      <x:c r="J17" s="25" t="n">
        <x:v>15</x:v>
      </x:c>
      <x:c r="K17" s="25" t="n">
        <x:v>758</x:v>
      </x:c>
      <x:c r="L17" s="25" t="n">
        <x:v>9983</x:v>
      </x:c>
      <x:c r="M17" s="25" t="n">
        <x:v>12</x:v>
      </x:c>
      <x:c r="N17" s="19" t="str">
        <x:v>https://www.tiktok.com/@hellofromniko/video/7656568396028366111</x:v>
      </x:c>
      <x:c r="O17" s="19" t="str">
        <x:v>Blanks</x:v>
      </x:c>
      <x:c r="P17" s="19" t="str">
        <x:v>Ambiguous / incidental</x:v>
      </x:c>
      <x:c r="Q17" s="19" t="str">
        <x:v>No</x:v>
      </x:c>
      <x:c r="R17" s="19" t="str">
        <x:v>LLM review</x:v>
      </x:c>
      <x:c r="S17" s="19" t="str">
        <x:v>Yes</x:v>
      </x:c>
      <x:c r="T17" s="22" t="str">
        <x:v>The brand is discovered through a tag/mention but is not clearly the subject of the caption.</x:v>
      </x:c>
    </x:row>
    <x:row r="18">
      <x:c r="A18" s="9" t="str">
        <x:v>Instagram</x:v>
      </x:c>
      <x:c r="B18" s="10" t="str">
        <x:v>IG hashtag</x:v>
      </x:c>
      <x:c r="C18" s="10" t="str">
        <x:v>3920453831814120238</x:v>
      </x:c>
      <x:c r="D18" s="16" t="n">
        <x:v>46189.07565972222</x:v>
      </x:c>
      <x:c r="E18" s="10" t="str">
        <x:v>avart.std</x:v>
      </x:c>
      <x:c r="F18" s="10" t="str">
        <x:v>Sidecar</x:v>
      </x:c>
      <x:c r="G18" s="19" t="str">
        <x:v>Design for sale!! special Collaboration ( @avart.std x @wfs.std ) Design: Slide 2 : Tshirt SOLD✅ and Shorpants Available ( @avart.std ) Slide 3 : DM ( @wfs.std ) Included files : Included files : •Psd (source file) , Png (preview mockup) and mockup for free. •Text &amp; colors can be changed. Dm for price &amp; Information ❕ #designforsale #americanapparel #usacollections #brandowner#streetwearbrand</x:v>
      </x:c>
      <x:c r="H18" s="19" t="str">
        <x:v>#designforsale #americanapparel #usacollections #brandowner #streetwearbrand</x:v>
      </x:c>
      <x:c r="I18" s="19" t="str">
        <x:v>@avart.std @wfs.std @enfantsrichesdeprimes @palyhollywood</x:v>
      </x:c>
      <x:c r="J18" s="25" t="n">
        <x:v>14</x:v>
      </x:c>
      <x:c r="K18" s="25" t="n">
        <x:v>38</x:v>
      </x:c>
      <x:c r="L18" s="25" t="n">
        <x:v>0</x:v>
      </x:c>
      <x:c r="M18" s="25" t="n">
        <x:v>0</x:v>
      </x:c>
      <x:c r="N18" s="19" t="str">
        <x:v>https://www.instagram.com/p/DZoP_0TmYMu/</x:v>
      </x:c>
      <x:c r="O18" s="19" t="str"/>
      <x:c r="P18" s="19" t="str">
        <x:v>Design-sale noise</x:v>
      </x:c>
      <x:c r="Q18" s="19" t="str">
        <x:v>No</x:v>
      </x:c>
      <x:c r="R18" s="19" t="str">
        <x:v>Skip</x:v>
      </x:c>
      <x:c r="S18" s="19" t="str">
        <x:v>No</x:v>
      </x:c>
      <x:c r="T18" s="22" t="str">
        <x:v>Design/mockup sale language; not consumer discussion of American Apparel.</x:v>
      </x:c>
    </x:row>
    <x:row r="19">
      <x:c r="A19" s="9" t="str">
        <x:v>Instagram</x:v>
      </x:c>
      <x:c r="B19" s="10" t="str">
        <x:v>IG hashtag</x:v>
      </x:c>
      <x:c r="C19" s="10" t="str">
        <x:v>3930207603674701669</x:v>
      </x:c>
      <x:c r="D19" s="16" t="n">
        <x:v>46202.53329861111</x:v>
      </x:c>
      <x:c r="E19" s="10" t="str">
        <x:v>avart.std</x:v>
      </x:c>
      <x:c r="F19" s="10" t="str">
        <x:v>Sidecar</x:v>
      </x:c>
      <x:c r="G19" s="19" t="str">
        <x:v>DESIGN FOR SALE!! ( CONCEPT @valelives ) CODE : 116 JEANS BOOKED🔒 INCLUDED FILES : • PSD (SOURCE FILE), PNG (PREVIEW MOCKUP) AND MOCKUP FOR FREE. • TEXT &amp; COLORS CAN BE CHANGED. DM FOR PRICE &amp; INFORMATION ❕ #designforsale #streetwearbrand #tshirtdesign #vintagedesign #streetwearstyle</x:v>
      </x:c>
      <x:c r="H19" s="19" t="str">
        <x:v>#designforsale #streetwearbrand #tshirtdesign #vintagedesign #streetwearstyle</x:v>
      </x:c>
      <x:c r="I19" s="19" t="str">
        <x:v>@valelives @pappiiq @ishowspeed @thegvgallery @us.kozy @hmddla_</x:v>
      </x:c>
      <x:c r="J19" s="25" t="n">
        <x:v>12</x:v>
      </x:c>
      <x:c r="K19" s="25" t="n">
        <x:v>21</x:v>
      </x:c>
      <x:c r="L19" s="25" t="n">
        <x:v>0</x:v>
      </x:c>
      <x:c r="M19" s="25" t="n">
        <x:v>0</x:v>
      </x:c>
      <x:c r="N19" s="19" t="str">
        <x:v>https://www.instagram.com/p/DaK5v4Okd9l/</x:v>
      </x:c>
      <x:c r="O19" s="19" t="str"/>
      <x:c r="P19" s="19" t="str">
        <x:v>Design-sale noise</x:v>
      </x:c>
      <x:c r="Q19" s="19" t="str">
        <x:v>No</x:v>
      </x:c>
      <x:c r="R19" s="19" t="str">
        <x:v>Skip</x:v>
      </x:c>
      <x:c r="S19" s="19" t="str">
        <x:v>No</x:v>
      </x:c>
      <x:c r="T19" s="22" t="str">
        <x:v>Design/mockup sale language; not consumer discussion of American Apparel.</x:v>
      </x:c>
    </x:row>
    <x:row r="20">
      <x:c r="A20" s="9" t="str">
        <x:v>Instagram</x:v>
      </x:c>
      <x:c r="B20" s="10" t="str">
        <x:v>IG mention</x:v>
      </x:c>
      <x:c r="C20" s="10" t="str">
        <x:v>3920220262617014466</x:v>
      </x:c>
      <x:c r="D20" s="16" t="n">
        <x:v>46188.75340277778</x:v>
      </x:c>
      <x:c r="E20" s="10" t="str">
        <x:v>imaginary_carrio</x:v>
      </x:c>
      <x:c r="F20" s="10" t="str">
        <x:v>Sidecar</x:v>
      </x:c>
      <x:c r="G20" s="19" t="str">
        <x:v>Summertime 2026 vs 2008 🤩😎</x:v>
      </x:c>
      <x:c r="H20" s="19" t="str"/>
      <x:c r="I20" s="19" t="str">
        <x:v>@fossil @americanapparel @hollister @abercrombie @jimmychoo @emilyisalover @carrera @oldnavy @sf_ander @hm_man</x:v>
      </x:c>
      <x:c r="J20" s="25" t="n">
        <x:v>10</x:v>
      </x:c>
      <x:c r="K20" s="25" t="n">
        <x:v>79</x:v>
      </x:c>
      <x:c r="L20" s="25" t="n">
        <x:v>0</x:v>
      </x:c>
      <x:c r="M20" s="25" t="n">
        <x:v>0</x:v>
      </x:c>
      <x:c r="N20" s="19" t="str">
        <x:v>https://www.instagram.com/p/DZna48Ck2DC/</x:v>
      </x:c>
      <x:c r="O20" s="19" t="str"/>
      <x:c r="P20" s="19" t="str">
        <x:v>Ambiguous / incidental</x:v>
      </x:c>
      <x:c r="Q20" s="19" t="str">
        <x:v>No</x:v>
      </x:c>
      <x:c r="R20" s="19" t="str">
        <x:v>LLM review</x:v>
      </x:c>
      <x:c r="S20" s="19" t="str">
        <x:v>Yes</x:v>
      </x:c>
      <x:c r="T20" s="22" t="str">
        <x:v>The brand is discovered through a tag/mention but is not clearly the subject of the caption.</x:v>
      </x:c>
    </x:row>
    <x:row r="21">
      <x:c r="A21" s="9" t="str">
        <x:v>Instagram</x:v>
      </x:c>
      <x:c r="B21" s="10" t="str">
        <x:v>IG mention</x:v>
      </x:c>
      <x:c r="C21" s="10" t="str">
        <x:v>3921861929626310091</x:v>
      </x:c>
      <x:c r="D21" s="16" t="n">
        <x:v>46191.018472222226</x:v>
      </x:c>
      <x:c r="E21" s="10" t="str">
        <x:v>gabrielledaramalay</x:v>
      </x:c>
      <x:c r="F21" s="10" t="str">
        <x:v>Sidecar</x:v>
      </x:c>
      <x:c r="G21" s="19" t="str">
        <x:v>and her side quests against the world</x:v>
      </x:c>
      <x:c r="H21" s="19" t="str"/>
      <x:c r="I21" s="19" t="str">
        <x:v>@billabongwomens @billabongindonesia @americanapparel @hijacksandals @thenomadbali @gayakamiofficial</x:v>
      </x:c>
      <x:c r="J21" s="25" t="n">
        <x:v>10</x:v>
      </x:c>
      <x:c r="K21" s="25" t="n">
        <x:v>249</x:v>
      </x:c>
      <x:c r="L21" s="25" t="n">
        <x:v>0</x:v>
      </x:c>
      <x:c r="M21" s="25" t="n">
        <x:v>0</x:v>
      </x:c>
      <x:c r="N21" s="19" t="str">
        <x:v>https://www.instagram.com/p/DZtQKVlgRXL/</x:v>
      </x:c>
      <x:c r="O21" s="19" t="str"/>
      <x:c r="P21" s="19" t="str">
        <x:v>Ambiguous / incidental</x:v>
      </x:c>
      <x:c r="Q21" s="19" t="str">
        <x:v>No</x:v>
      </x:c>
      <x:c r="R21" s="19" t="str">
        <x:v>LLM review</x:v>
      </x:c>
      <x:c r="S21" s="19" t="str">
        <x:v>Yes</x:v>
      </x:c>
      <x:c r="T21" s="22" t="str">
        <x:v>The brand is discovered through a tag/mention but is not clearly the subject of the caption.</x:v>
      </x:c>
    </x:row>
    <x:row r="22">
      <x:c r="A22" s="9" t="str">
        <x:v>Instagram</x:v>
      </x:c>
      <x:c r="B22" s="10" t="str">
        <x:v>IG hashtag</x:v>
      </x:c>
      <x:c r="C22" s="10" t="str">
        <x:v>3922224871040978505</x:v>
      </x:c>
      <x:c r="D22" s="16" t="n">
        <x:v>46191.51923611111</x:v>
      </x:c>
      <x:c r="E22" s="10" t="str">
        <x:v>avart.std</x:v>
      </x:c>
      <x:c r="F22" s="10" t="str">
        <x:v>Sidecar</x:v>
      </x:c>
      <x:c r="G22" s="19" t="str">
        <x:v>DESIGN FOR SALE!! ( CONCEPT @valelives ) CODE : 111 ….. INCLUDED FILES : • PSD (SOURCE FILE), PNG (PREVIEW MOCKUP) AND MOCKUP FOR FREE. • TEXT &amp; COLORS CAN BE CHANGED. DM FOR PRICE &amp; INFORMATION ❕ #designforsale #americanapparel #usacollections #brandowner #streetwearbrand</x:v>
      </x:c>
      <x:c r="H22" s="19" t="str">
        <x:v>#designforsale #americanapparel #usacollections #brandowner #streetwearbrand</x:v>
      </x:c>
      <x:c r="I22" s="19" t="str">
        <x:v>@valelives @pappiiq @ishowspeed @greedyunit @us.kozy @hmddla_</x:v>
      </x:c>
      <x:c r="J22" s="25" t="n">
        <x:v>10</x:v>
      </x:c>
      <x:c r="K22" s="25" t="n">
        <x:v>22</x:v>
      </x:c>
      <x:c r="L22" s="25" t="n">
        <x:v>0</x:v>
      </x:c>
      <x:c r="M22" s="25" t="n">
        <x:v>0</x:v>
      </x:c>
      <x:c r="N22" s="19" t="str">
        <x:v>https://www.instagram.com/p/DZuir1HmY5J/</x:v>
      </x:c>
      <x:c r="O22" s="19" t="str"/>
      <x:c r="P22" s="19" t="str">
        <x:v>Design-sale noise</x:v>
      </x:c>
      <x:c r="Q22" s="19" t="str">
        <x:v>No</x:v>
      </x:c>
      <x:c r="R22" s="19" t="str">
        <x:v>Skip</x:v>
      </x:c>
      <x:c r="S22" s="19" t="str">
        <x:v>No</x:v>
      </x:c>
      <x:c r="T22" s="22" t="str">
        <x:v>Design/mockup sale language; not consumer discussion of American Apparel.</x:v>
      </x:c>
    </x:row>
    <x:row r="23">
      <x:c r="A23" s="9" t="str">
        <x:v>Instagram</x:v>
      </x:c>
      <x:c r="B23" s="10" t="str">
        <x:v>IG hashtag</x:v>
      </x:c>
      <x:c r="C23" s="10" t="str">
        <x:v>3927283916155762003</x:v>
      </x:c>
      <x:c r="D23" s="16" t="n">
        <x:v>46198.499386574076</x:v>
      </x:c>
      <x:c r="E23" s="10" t="str">
        <x:v>avart.std</x:v>
      </x:c>
      <x:c r="F23" s="10" t="str">
        <x:v>Sidecar</x:v>
      </x:c>
      <x:c r="G23" s="19" t="str">
        <x:v>DESIGN FOR SALE!! ( CONCEPT @hmddla_ ) CODE : 114 PANTS SOLD✅ INCLUDED FILES : • PSD (SOURCE FILE), PNG (PREVIEW MOCKUP) AND MOCKUP FOR FREE. • TEXT &amp; COLORS CAN BE CHANGED. DM FOR PRICE &amp; INFORMATION ❕ #designforsale #americanapparel #usacollections #brandowner #streetwear</x:v>
      </x:c>
      <x:c r="H23" s="19" t="str">
        <x:v>#designforsale #americanapparel #usacollections #brandowner #streetwear</x:v>
      </x:c>
      <x:c r="I23" s="19" t="str">
        <x:v>@hmddla_ @pappiiq @thegvgallery @greedyunit @caprrice @us.kozy @caprii</x:v>
      </x:c>
      <x:c r="J23" s="25" t="n">
        <x:v>10</x:v>
      </x:c>
      <x:c r="K23" s="25" t="n">
        <x:v>27</x:v>
      </x:c>
      <x:c r="L23" s="25" t="n">
        <x:v>0</x:v>
      </x:c>
      <x:c r="M23" s="25" t="n">
        <x:v>0</x:v>
      </x:c>
      <x:c r="N23" s="19" t="str">
        <x:v>https://www.instagram.com/p/DaAg-oCkbVT/</x:v>
      </x:c>
      <x:c r="O23" s="19" t="str"/>
      <x:c r="P23" s="19" t="str">
        <x:v>Design-sale noise</x:v>
      </x:c>
      <x:c r="Q23" s="19" t="str">
        <x:v>No</x:v>
      </x:c>
      <x:c r="R23" s="19" t="str">
        <x:v>Skip</x:v>
      </x:c>
      <x:c r="S23" s="19" t="str">
        <x:v>No</x:v>
      </x:c>
      <x:c r="T23" s="22" t="str">
        <x:v>Design/mockup sale language; not consumer discussion of American Apparel.</x:v>
      </x:c>
    </x:row>
    <x:row r="24">
      <x:c r="A24" s="9" t="str">
        <x:v>Instagram</x:v>
      </x:c>
      <x:c r="B24" s="10" t="str">
        <x:v>IG mention</x:v>
      </x:c>
      <x:c r="C24" s="10" t="str">
        <x:v>3920875828674374747</x:v>
      </x:c>
      <x:c r="D24" s="16" t="n">
        <x:v>46189.657905092594</x:v>
      </x:c>
      <x:c r="E24" s="10" t="str">
        <x:v>202rice</x:v>
      </x:c>
      <x:c r="F24" s="10" t="str">
        <x:v>Sidecar</x:v>
      </x:c>
      <x:c r="G24" s="19" t="str">
        <x:v>da lake 🏞️ #roadtripping #summertimefine #deepcreek #hikingadventures #natureheals</x:v>
      </x:c>
      <x:c r="H24" s="19" t="str">
        <x:v>#roadtripping #summertimefine #deepcreek #hikingadventures #natureheals</x:v>
      </x:c>
      <x:c r="I24" s="19" t="str">
        <x:v>@oakley @americanapparel @iamgia @offoutdoors @bananaboatbrand @traderjoes @kikithebrand @bodybyraventracy</x:v>
      </x:c>
      <x:c r="J24" s="25" t="n">
        <x:v>9</x:v>
      </x:c>
      <x:c r="K24" s="25" t="n">
        <x:v>-1</x:v>
      </x:c>
      <x:c r="L24" s="25" t="n">
        <x:v>0</x:v>
      </x:c>
      <x:c r="M24" s="25" t="n">
        <x:v>0</x:v>
      </x:c>
      <x:c r="N24" s="19" t="str">
        <x:v>https://www.instagram.com/p/DZpv8rgjSxb/</x:v>
      </x:c>
      <x:c r="O24" s="19" t="str"/>
      <x:c r="P24" s="19" t="str">
        <x:v>Ambiguous / incidental</x:v>
      </x:c>
      <x:c r="Q24" s="19" t="str">
        <x:v>No</x:v>
      </x:c>
      <x:c r="R24" s="19" t="str">
        <x:v>LLM review</x:v>
      </x:c>
      <x:c r="S24" s="19" t="str">
        <x:v>Yes</x:v>
      </x:c>
      <x:c r="T24" s="22" t="str">
        <x:v>The brand is discovered through a tag/mention but is not clearly the subject of the caption.</x:v>
      </x:c>
    </x:row>
    <x:row r="25">
      <x:c r="A25" s="9" t="str">
        <x:v>Instagram</x:v>
      </x:c>
      <x:c r="B25" s="10" t="str">
        <x:v>IG mention</x:v>
      </x:c>
      <x:c r="C25" s="10" t="str">
        <x:v>3929931864971891539</x:v>
      </x:c>
      <x:c r="D25" s="16" t="n">
        <x:v>46202.15665509259</x:v>
      </x:c>
      <x:c r="E25" s="10" t="str">
        <x:v>__wendys2</x:v>
      </x:c>
      <x:c r="F25" s="10" t="str">
        <x:v>Video</x:v>
      </x:c>
      <x:c r="G25" s="19" t="str">
        <x:v>3ヶ月ベビーのGRWM⭐︎ ちょっとお出かけするのにも 準備にすっごく時間かかるけど、 それもまた愛おしいね🎶 最初にきていた短肌着は @markeys_official ♥️ 暑いので、最近の部屋着は短肌着のみのオムツマン笑 #grwm #3ヶ月ベビー #男の子 #こどもふく</x:v>
      </x:c>
      <x:c r="H25" s="19" t="str">
        <x:v>#grwm #3ヶ月ベビー #男の子 #こどもふく</x:v>
      </x:c>
      <x:c r="I25" s="19" t="str">
        <x:v>@markeys_official @americanapparel @greenday @stokkejapan @_madebynerd @lulumomo_official</x:v>
      </x:c>
      <x:c r="J25" s="25" t="n">
        <x:v>9</x:v>
      </x:c>
      <x:c r="K25" s="25" t="n">
        <x:v>297</x:v>
      </x:c>
      <x:c r="L25" s="25" t="n">
        <x:v>0</x:v>
      </x:c>
      <x:c r="M25" s="25" t="n">
        <x:v>0</x:v>
      </x:c>
      <x:c r="N25" s="19" t="str">
        <x:v>https://www.instagram.com/p/DaJ7DWjI1NT/</x:v>
      </x:c>
      <x:c r="O25" s="19" t="str"/>
      <x:c r="P25" s="19" t="str">
        <x:v>Ambiguous / incidental</x:v>
      </x:c>
      <x:c r="Q25" s="19" t="str">
        <x:v>No</x:v>
      </x:c>
      <x:c r="R25" s="19" t="str">
        <x:v>LLM review</x:v>
      </x:c>
      <x:c r="S25" s="19" t="str">
        <x:v>Yes</x:v>
      </x:c>
      <x:c r="T25" s="22" t="str">
        <x:v>The brand is discovered through a tag/mention but is not clearly the subject of the caption.</x:v>
      </x:c>
    </x:row>
    <x:row r="26">
      <x:c r="A26" s="9" t="str">
        <x:v>Instagram</x:v>
      </x:c>
      <x:c r="B26" s="10" t="str">
        <x:v>IG hashtag</x:v>
      </x:c>
      <x:c r="C26" s="10" t="str">
        <x:v>3930938201309518828</x:v>
      </x:c>
      <x:c r="D26" s="16" t="n">
        <x:v>46203.54133101852</x:v>
      </x:c>
      <x:c r="E26" s="10" t="str">
        <x:v>avart.std</x:v>
      </x:c>
      <x:c r="F26" s="10" t="str">
        <x:v>Sidecar</x:v>
      </x:c>
      <x:c r="G26" s="19" t="str">
        <x:v>DESIGN FOR SALE!! ( CONCEPT @valelives ) CODE : 117 ….. INCLUDED FILES : • PSD (SOURCE FILE), PNG (PREVIEW MOCKUP) AND MOCKUP FOR FREE. • TEXT &amp; COLORS CAN BE CHANGED. DM FOR PRICE &amp; INFORMATION ❕ #designforsale #streetwearbrand #tshirtdesign #brandowner #vintagedesign</x:v>
      </x:c>
      <x:c r="H26" s="19" t="str">
        <x:v>#designforsale #streetwearbrand #tshirtdesign #brandowner #vintagedesign</x:v>
      </x:c>
      <x:c r="I26" s="19" t="str">
        <x:v>@valelives @saintvanity.usa @pappiiq @ishowspeed @us.kozy @palyhollywood @outfitworldinspoo</x:v>
      </x:c>
      <x:c r="J26" s="25" t="n">
        <x:v>9</x:v>
      </x:c>
      <x:c r="K26" s="25" t="n">
        <x:v>14</x:v>
      </x:c>
      <x:c r="L26" s="25" t="n">
        <x:v>0</x:v>
      </x:c>
      <x:c r="M26" s="25" t="n">
        <x:v>0</x:v>
      </x:c>
      <x:c r="N26" s="19" t="str">
        <x:v>https://www.instagram.com/p/DaNf3eTERvs/</x:v>
      </x:c>
      <x:c r="O26" s="19" t="str"/>
      <x:c r="P26" s="19" t="str">
        <x:v>Design-sale noise</x:v>
      </x:c>
      <x:c r="Q26" s="19" t="str">
        <x:v>No</x:v>
      </x:c>
      <x:c r="R26" s="19" t="str">
        <x:v>Skip</x:v>
      </x:c>
      <x:c r="S26" s="19" t="str">
        <x:v>No</x:v>
      </x:c>
      <x:c r="T26" s="22" t="str">
        <x:v>Design/mockup sale language; not consumer discussion of American Apparel.</x:v>
      </x:c>
    </x:row>
    <x:row r="27">
      <x:c r="A27" s="9" t="str">
        <x:v>TikTok</x:v>
      </x:c>
      <x:c r="B27" s="10" t="str">
        <x:v>TikTok hashtag — validation</x:v>
      </x:c>
      <x:c r="C27" s="10" t="str">
        <x:v>7651670861321129238</x:v>
      </x:c>
      <x:c r="D27" s="16" t="n">
        <x:v>46188.7159375</x:v>
      </x:c>
      <x:c r="E27" s="10" t="str">
        <x:v>estare</x:v>
      </x:c>
      <x:c r="F27" s="10" t="str">
        <x:v>Video</x:v>
      </x:c>
      <x:c r="G27" s="19" t="str">
        <x:v>Also found my riding and disco pants! What a throwback, I’m still obsessed!! @Los Angeles Apparel 🤩😍👏🏾 #americanapparel #losangelesapparel #2000sthrowback #2000fashion</x:v>
      </x:c>
      <x:c r="H27" s="19" t="str">
        <x:v>#americanapparel #losangelesapparel #2000sthrowback #2000fashion</x:v>
      </x:c>
      <x:c r="I27" s="19" t="str"/>
      <x:c r="J27" s="25" t="n">
        <x:v>8</x:v>
      </x:c>
      <x:c r="K27" s="25" t="n">
        <x:v>185</x:v>
      </x:c>
      <x:c r="L27" s="25" t="n">
        <x:v>3328</x:v>
      </x:c>
      <x:c r="M27" s="25" t="n">
        <x:v>1</x:v>
      </x:c>
      <x:c r="N27" s="19" t="str">
        <x:v>https://www.tiktok.com/@estare/video/7651670861321129238</x:v>
      </x:c>
      <x:c r="O27" s="19" t="str">
        <x:v>Disco pants</x:v>
      </x:c>
      <x:c r="P27" s="19" t="str">
        <x:v>Likely relevant</x:v>
      </x:c>
      <x:c r="Q27" s="19" t="str">
        <x:v>Review — nostalgia/awareness adjacent</x:v>
      </x:c>
      <x:c r="R27" s="19" t="str">
        <x:v>Scrape comments</x:v>
      </x:c>
      <x:c r="S27" s="19" t="str">
        <x:v>Yes</x:v>
      </x:c>
      <x:c r="T27" s="22" t="str">
        <x:v>The post explicitly names/tags American Apparel or an identified AA product/style.</x:v>
      </x:c>
    </x:row>
    <x:row r="28">
      <x:c r="A28" s="9" t="str">
        <x:v>Instagram</x:v>
      </x:c>
      <x:c r="B28" s="10" t="str">
        <x:v>IG hashtag</x:v>
      </x:c>
      <x:c r="C28" s="10" t="str">
        <x:v>3922931033541541437</x:v>
      </x:c>
      <x:c r="D28" s="16" t="n">
        <x:v>46192.49355324074</x:v>
      </x:c>
      <x:c r="E28" s="10" t="str">
        <x:v>avart.std</x:v>
      </x:c>
      <x:c r="F28" s="10" t="str">
        <x:v>Sidecar</x:v>
      </x:c>
      <x:c r="G28" s="19" t="str">
        <x:v>DESIGN FOR SALE!! (CONCEPT @thegvgallery ) CODE : 112 ZIP UP SOLD✅ TSHIRT SOLD✅ INCLUDED FILES : • PSD (SOURCE FILE), PNG (PREVIEW MOCKUP) AND MOCKUP FOR FREE. • TEXT &amp; COLORS CAN BE CHANGED. DM FOR PRICE &amp; INFORMATION ❕ #designforsale #americanapparel #usacollections #brandowner #streetwearbrand</x:v>
      </x:c>
      <x:c r="H28" s="19" t="str">
        <x:v>#designforsale #americanapparel #usacollections #brandowner #streetwearbrand</x:v>
      </x:c>
      <x:c r="I28" s="19" t="str">
        <x:v>@thegvgallery @pappiiq @ishowspeed @greedyunit @us.kozy @palyhollywood</x:v>
      </x:c>
      <x:c r="J28" s="25" t="n">
        <x:v>8</x:v>
      </x:c>
      <x:c r="K28" s="25" t="n">
        <x:v>21</x:v>
      </x:c>
      <x:c r="L28" s="25" t="n">
        <x:v>0</x:v>
      </x:c>
      <x:c r="M28" s="25" t="n">
        <x:v>0</x:v>
      </x:c>
      <x:c r="N28" s="19" t="str">
        <x:v>https://www.instagram.com/p/DZxDP2MmX49/</x:v>
      </x:c>
      <x:c r="O28" s="19" t="str"/>
      <x:c r="P28" s="19" t="str">
        <x:v>Design-sale noise</x:v>
      </x:c>
      <x:c r="Q28" s="19" t="str">
        <x:v>No</x:v>
      </x:c>
      <x:c r="R28" s="19" t="str">
        <x:v>Skip</x:v>
      </x:c>
      <x:c r="S28" s="19" t="str">
        <x:v>No</x:v>
      </x:c>
      <x:c r="T28" s="22" t="str">
        <x:v>Design/mockup sale language; not consumer discussion of American Apparel.</x:v>
      </x:c>
    </x:row>
    <x:row r="29">
      <x:c r="A29" s="9" t="str">
        <x:v>Instagram</x:v>
      </x:c>
      <x:c r="B29" s="10" t="str">
        <x:v>IG mention</x:v>
      </x:c>
      <x:c r="C29" s="10" t="str">
        <x:v>3926730456177344321</x:v>
      </x:c>
      <x:c r="D29" s="16" t="n">
        <x:v>46197.738171296296</x:v>
      </x:c>
      <x:c r="E29" s="10" t="str">
        <x:v>cayennemarketing</x:v>
      </x:c>
      <x:c r="F29" s="10" t="str">
        <x:v>Video</x:v>
      </x:c>
      <x:c r="G29" s="19" t="str">
        <x:v>We love our vendors and are so thankful to get to see the latest trends for our client’s industries! 📩DM or email us to see what’s trending in your industry! We can help you decide what’s worth it for your business! #marketing #promotionalproducts #branding #logo</x:v>
      </x:c>
      <x:c r="H29" s="19" t="str">
        <x:v>#marketing #promotionalproducts #branding #logo</x:v>
      </x:c>
      <x:c r="I29" s="19" t="str">
        <x:v>@jenniferskinnerlapierre @americanapparel @jowhitson @maciebillings @ssactivewear @spectorandco @sanmar_corp @mikelannricardo_</x:v>
      </x:c>
      <x:c r="J29" s="25" t="n">
        <x:v>8</x:v>
      </x:c>
      <x:c r="K29" s="25" t="n">
        <x:v>33</x:v>
      </x:c>
      <x:c r="L29" s="25" t="n">
        <x:v>0</x:v>
      </x:c>
      <x:c r="M29" s="25" t="n">
        <x:v>0</x:v>
      </x:c>
      <x:c r="N29" s="19" t="str">
        <x:v>https://www.instagram.com/p/DZ-jIuRKH9B/</x:v>
      </x:c>
      <x:c r="O29" s="19" t="str"/>
      <x:c r="P29" s="19" t="str">
        <x:v>Ambiguous / incidental</x:v>
      </x:c>
      <x:c r="Q29" s="19" t="str">
        <x:v>No</x:v>
      </x:c>
      <x:c r="R29" s="19" t="str">
        <x:v>LLM review</x:v>
      </x:c>
      <x:c r="S29" s="19" t="str">
        <x:v>Yes</x:v>
      </x:c>
      <x:c r="T29" s="22" t="str">
        <x:v>The brand is discovered through a tag/mention but is not clearly the subject of the caption.</x:v>
      </x:c>
    </x:row>
    <x:row r="30">
      <x:c r="A30" s="9" t="str">
        <x:v>Instagram</x:v>
      </x:c>
      <x:c r="B30" s="10" t="str">
        <x:v>IG mention + IG hashtag</x:v>
      </x:c>
      <x:c r="C30" s="10" t="str">
        <x:v>3928086321936114799</x:v>
      </x:c>
      <x:c r="D30" s="16" t="n">
        <x:v>46199.60649305556</x:v>
      </x:c>
      <x:c r="E30" s="10" t="str">
        <x:v>nelo_room</x:v>
      </x:c>
      <x:c r="F30" s="10" t="str">
        <x:v>Sidecar</x:v>
      </x:c>
      <x:c r="G30" s="19" t="str">
        <x:v>워크샵 벌써 3주나 지났네🤣 . Top #americanapparel Bottom #leejeans Shoes #islandslipper Acc #josilver</x:v>
      </x:c>
      <x:c r="H30" s="19" t="str">
        <x:v>#americanapparel #leejeans #islandslipper #josilver</x:v>
      </x:c>
      <x:c r="I30" s="19" t="str">
        <x:v>@americanapparel @tomford @islandslipper @rust_mood @josilver_official</x:v>
      </x:c>
      <x:c r="J30" s="25" t="n">
        <x:v>7</x:v>
      </x:c>
      <x:c r="K30" s="25" t="n">
        <x:v>46</x:v>
      </x:c>
      <x:c r="L30" s="25" t="n">
        <x:v>0</x:v>
      </x:c>
      <x:c r="M30" s="25" t="n">
        <x:v>0</x:v>
      </x:c>
      <x:c r="N30" s="19" t="str">
        <x:v>https://www.instagram.com/p/DaDXbKqEqRv/</x:v>
      </x:c>
      <x:c r="O30" s="19" t="str"/>
      <x:c r="P30" s="19" t="str">
        <x:v>Likely relevant</x:v>
      </x:c>
      <x:c r="Q30" s="19" t="str">
        <x:v>No</x:v>
      </x:c>
      <x:c r="R30" s="19" t="str">
        <x:v>Scrape comments</x:v>
      </x:c>
      <x:c r="S30" s="19" t="str">
        <x:v>No</x:v>
      </x:c>
      <x:c r="T30" s="22" t="str">
        <x:v>The post explicitly names/tags American Apparel or an identified AA product/style.</x:v>
      </x:c>
    </x:row>
    <x:row r="31">
      <x:c r="A31" s="9" t="str">
        <x:v>TikTok</x:v>
      </x:c>
      <x:c r="B31" s="10" t="str">
        <x:v>TikTok hashtag — validation</x:v>
      </x:c>
      <x:c r="C31" s="10" t="str">
        <x:v>7651536995298168096</x:v>
      </x:c>
      <x:c r="D31" s="16" t="n">
        <x:v>46188.355266203704</x:v>
      </x:c>
      <x:c r="E31" s="10" t="str">
        <x:v>raeraesapparel</x:v>
      </x:c>
      <x:c r="F31" s="10" t="str">
        <x:v>Video</x:v>
      </x:c>
      <x:c r="G31" s="19" t="str">
        <x:v>Our launch is coming soon …. #countryapparel #country #countrymusic #americanapparel #truckerhat</x:v>
      </x:c>
      <x:c r="H31" s="19" t="str">
        <x:v>#countryapparel #country #countrymusic #americanapparel #truckerhat</x:v>
      </x:c>
      <x:c r="I31" s="19" t="str"/>
      <x:c r="J31" s="25" t="n">
        <x:v>6</x:v>
      </x:c>
      <x:c r="K31" s="25" t="n">
        <x:v>12</x:v>
      </x:c>
      <x:c r="L31" s="25" t="n">
        <x:v>1069</x:v>
      </x:c>
      <x:c r="M31" s="25" t="n">
        <x:v>0</x:v>
      </x:c>
      <x:c r="N31" s="19" t="str">
        <x:v>https://www.tiktok.com/@raeraesapparel/video/7651536995298168096</x:v>
      </x:c>
      <x:c r="O31" s="19" t="str"/>
      <x:c r="P31" s="19" t="str">
        <x:v>Likely irrelevant / generic</x:v>
      </x:c>
      <x:c r="Q31" s="19" t="str">
        <x:v>No</x:v>
      </x:c>
      <x:c r="R31" s="19" t="str">
        <x:v>Skip</x:v>
      </x:c>
      <x:c r="S31" s="19" t="str">
        <x:v>No</x:v>
      </x:c>
      <x:c r="T31" s="22" t="str">
        <x:v>American apparel appears as a generic hashtag rather than the brand.</x:v>
      </x:c>
    </x:row>
    <x:row r="32">
      <x:c r="A32" s="9" t="str">
        <x:v>Instagram</x:v>
      </x:c>
      <x:c r="B32" s="10" t="str">
        <x:v>IG hashtag</x:v>
      </x:c>
      <x:c r="C32" s="10" t="str">
        <x:v>3928014480614207074</x:v>
      </x:c>
      <x:c r="D32" s="16" t="n">
        <x:v>46199.507372685184</x:v>
      </x:c>
      <x:c r="E32" s="10" t="str">
        <x:v>avart.std</x:v>
      </x:c>
      <x:c r="F32" s="10" t="str">
        <x:v>Sidecar</x:v>
      </x:c>
      <x:c r="G32" s="19" t="str">
        <x:v>DESIGN FOR SALE!! ( CONCEPT @thegvgallery ) CODE : 115 ….. INCLUDED FILES : • PSD (SOURCE FILE), PNG (PREVIEW MOCKUP) AND MOCKUP FOR FREE. • TEXT &amp; COLORS CAN BE CHANGED. DM FOR PRICE &amp; INFORMATION ❕ #designforsale #streetwearbrand #tshirtdesign #brandowner #streetwearusa</x:v>
      </x:c>
      <x:c r="H32" s="19" t="str">
        <x:v>#designforsale #streetwearbrand #tshirtdesign #brandowner #streetwearusa</x:v>
      </x:c>
      <x:c r="I32" s="19" t="str">
        <x:v>@thegvgallery @pappiiq @ishowspeed @greedyunit @caprrice @us.kozy @hmddla_ @satoshinakamoto._</x:v>
      </x:c>
      <x:c r="J32" s="25" t="n">
        <x:v>6</x:v>
      </x:c>
      <x:c r="K32" s="25" t="n">
        <x:v>17</x:v>
      </x:c>
      <x:c r="L32" s="25" t="n">
        <x:v>0</x:v>
      </x:c>
      <x:c r="M32" s="25" t="n">
        <x:v>0</x:v>
      </x:c>
      <x:c r="N32" s="19" t="str">
        <x:v>https://www.instagram.com/p/DaDHFvNma5i/</x:v>
      </x:c>
      <x:c r="O32" s="19" t="str"/>
      <x:c r="P32" s="19" t="str">
        <x:v>Design-sale noise</x:v>
      </x:c>
      <x:c r="Q32" s="19" t="str">
        <x:v>No</x:v>
      </x:c>
      <x:c r="R32" s="19" t="str">
        <x:v>Skip</x:v>
      </x:c>
      <x:c r="S32" s="19" t="str">
        <x:v>No</x:v>
      </x:c>
      <x:c r="T32" s="22" t="str">
        <x:v>Design/mockup sale language; not consumer discussion of American Apparel.</x:v>
      </x:c>
    </x:row>
    <x:row r="33">
      <x:c r="A33" s="9" t="str">
        <x:v>Instagram</x:v>
      </x:c>
      <x:c r="B33" s="10" t="str">
        <x:v>IG mention</x:v>
      </x:c>
      <x:c r="C33" s="10" t="str">
        <x:v>3920158182136458919</x:v>
      </x:c>
      <x:c r="D33" s="16" t="n">
        <x:v>46188.66774305556</x:v>
      </x:c>
      <x:c r="E33" s="10" t="str">
        <x:v>michelleshenx</x:v>
      </x:c>
      <x:c r="F33" s="10" t="str">
        <x:v>Sidecar</x:v>
      </x:c>
      <x:c r="G33" s="19" t="str">
        <x:v>sporty chic</x:v>
      </x:c>
      <x:c r="H33" s="19" t="str"/>
      <x:c r="I33" s="19" t="str">
        <x:v>@americanapparel @frankiesbikinis @salomon @chanelofficial @apple @setactive @alo @salomonsportstyle</x:v>
      </x:c>
      <x:c r="J33" s="25" t="n">
        <x:v>5</x:v>
      </x:c>
      <x:c r="K33" s="25" t="n">
        <x:v>-1</x:v>
      </x:c>
      <x:c r="L33" s="25" t="n">
        <x:v>0</x:v>
      </x:c>
      <x:c r="M33" s="25" t="n">
        <x:v>0</x:v>
      </x:c>
      <x:c r="N33" s="19" t="str">
        <x:v>https://www.instagram.com/p/DZnMxjFla6n/</x:v>
      </x:c>
      <x:c r="O33" s="19" t="str"/>
      <x:c r="P33" s="19" t="str">
        <x:v>Ambiguous / incidental</x:v>
      </x:c>
      <x:c r="Q33" s="19" t="str">
        <x:v>No</x:v>
      </x:c>
      <x:c r="R33" s="19" t="str">
        <x:v>LLM review</x:v>
      </x:c>
      <x:c r="S33" s="19" t="str">
        <x:v>Yes</x:v>
      </x:c>
      <x:c r="T33" s="22" t="str">
        <x:v>The brand is discovered through a tag/mention but is not clearly the subject of the caption.</x:v>
      </x:c>
    </x:row>
    <x:row r="34">
      <x:c r="A34" s="9" t="str">
        <x:v>Instagram</x:v>
      </x:c>
      <x:c r="B34" s="10" t="str">
        <x:v>IG mention</x:v>
      </x:c>
      <x:c r="C34" s="10" t="str">
        <x:v>3920290005075474801</x:v>
      </x:c>
      <x:c r="D34" s="16" t="n">
        <x:v>46188.84962962963</x:v>
      </x:c>
      <x:c r="E34" s="10" t="str">
        <x:v>luminga16</x:v>
      </x:c>
      <x:c r="F34" s="10" t="str">
        <x:v>Sidecar</x:v>
      </x:c>
      <x:c r="G34" s="19" t="str">
        <x:v>4:00pm</x:v>
      </x:c>
      <x:c r="H34" s="19" t="str"/>
      <x:c r="I34" s="19" t="str">
        <x:v>@unheardofbrand @warbyparker @gap @complex @sneakernews @adidas @americanapparel @wdywt @casio_us @photoshop @ngadc @uniqlo @kodak @casiowatches_us @philip_lipschutz @onequince @prismlensfx @cinegrams @casiowatches_official</x:v>
      </x:c>
      <x:c r="J34" s="25" t="n">
        <x:v>5</x:v>
      </x:c>
      <x:c r="K34" s="25" t="n">
        <x:v>31</x:v>
      </x:c>
      <x:c r="L34" s="25" t="n">
        <x:v>0</x:v>
      </x:c>
      <x:c r="M34" s="25" t="n">
        <x:v>0</x:v>
      </x:c>
      <x:c r="N34" s="19" t="str">
        <x:v>https://www.instagram.com/p/DZnqv0xCblx/</x:v>
      </x:c>
      <x:c r="O34" s="19" t="str"/>
      <x:c r="P34" s="19" t="str">
        <x:v>Ambiguous / incidental</x:v>
      </x:c>
      <x:c r="Q34" s="19" t="str">
        <x:v>No</x:v>
      </x:c>
      <x:c r="R34" s="19" t="str">
        <x:v>LLM review</x:v>
      </x:c>
      <x:c r="S34" s="19" t="str">
        <x:v>Yes</x:v>
      </x:c>
      <x:c r="T34" s="22" t="str">
        <x:v>The brand is discovered through a tag/mention but is not clearly the subject of the caption.</x:v>
      </x:c>
    </x:row>
    <x:row r="35">
      <x:c r="A35" s="9" t="str">
        <x:v>Instagram</x:v>
      </x:c>
      <x:c r="B35" s="10" t="str">
        <x:v>IG mention</x:v>
      </x:c>
      <x:c r="C35" s="10" t="str">
        <x:v>3922635285381642056</x:v>
      </x:c>
      <x:c r="D35" s="16" t="n">
        <x:v>46192.085497685184</x:v>
      </x:c>
      <x:c r="E35" s="10" t="str">
        <x:v>itsjadenfox</x:v>
      </x:c>
      <x:c r="F35" s="10" t="str">
        <x:v>Sidecar</x:v>
      </x:c>
      <x:c r="G35" s="19" t="str">
        <x:v>everyone’s a star ⭐️ world tour!! ily @5sos</x:v>
      </x:c>
      <x:c r="H35" s="19" t="str"/>
      <x:c r="I35" s="19" t="str">
        <x:v>@5sos @forever21 @calumhood @thekiacenter @americanapparel @lukehemmings @michaelclifford @ashtonirwin @sheinofficial @camglansford @gooddyeyoung @shein_us</x:v>
      </x:c>
      <x:c r="J35" s="25" t="n">
        <x:v>5</x:v>
      </x:c>
      <x:c r="K35" s="25" t="n">
        <x:v>-1</x:v>
      </x:c>
      <x:c r="L35" s="25" t="n">
        <x:v>0</x:v>
      </x:c>
      <x:c r="M35" s="25" t="n">
        <x:v>0</x:v>
      </x:c>
      <x:c r="N35" s="19" t="str">
        <x:v>https://www.instagram.com/p/DZwAAJQlfdI/</x:v>
      </x:c>
      <x:c r="O35" s="19" t="str"/>
      <x:c r="P35" s="19" t="str">
        <x:v>Ambiguous / incidental</x:v>
      </x:c>
      <x:c r="Q35" s="19" t="str">
        <x:v>No</x:v>
      </x:c>
      <x:c r="R35" s="19" t="str">
        <x:v>LLM review</x:v>
      </x:c>
      <x:c r="S35" s="19" t="str">
        <x:v>Yes</x:v>
      </x:c>
      <x:c r="T35" s="22" t="str">
        <x:v>The brand is discovered through a tag/mention but is not clearly the subject of the caption.</x:v>
      </x:c>
    </x:row>
    <x:row r="36">
      <x:c r="A36" s="9" t="str">
        <x:v>Instagram</x:v>
      </x:c>
      <x:c r="B36" s="10" t="str">
        <x:v>IG mention</x:v>
      </x:c>
      <x:c r="C36" s="10" t="str">
        <x:v>3917496155214258204</x:v>
      </x:c>
      <x:c r="D36" s="16" t="n">
        <x:v>46184.99484953703</x:v>
      </x:c>
      <x:c r="E36" s="10" t="str">
        <x:v>jinswardrobe</x:v>
      </x:c>
      <x:c r="F36" s="10" t="str">
        <x:v>Sidecar</x:v>
      </x:c>
      <x:c r="G36" s="19" t="str">
        <x:v>260612 Fri (☀️ 14℃ / 28℃ 💚) Cap : Ryoo Glasses : 80's US Army Shirts : 80's Polo Ralph Lauren Pants : Our Legacy Shoes : J.M.Weston Watch : 70's Cartier Bag : My wife made it #mensfashion #vintage #vintagefashion</x:v>
      </x:c>
      <x:c r="H36" s="19" t="str">
        <x:v>#mensfashion #vintage #vintagefashion</x:v>
      </x:c>
      <x:c r="I36" s="19" t="str">
        <x:v>@americanapparel @ourlegacy @cartier @jmwestonofficial @poloralphlauren @the_odim @ryoo__official</x:v>
      </x:c>
      <x:c r="J36" s="25" t="n">
        <x:v>4</x:v>
      </x:c>
      <x:c r="K36" s="25" t="n">
        <x:v>175</x:v>
      </x:c>
      <x:c r="L36" s="25" t="n">
        <x:v>0</x:v>
      </x:c>
      <x:c r="M36" s="25" t="n">
        <x:v>0</x:v>
      </x:c>
      <x:c r="N36" s="19" t="str">
        <x:v>https://www.instagram.com/p/DZdvf9UgSAc/</x:v>
      </x:c>
      <x:c r="O36" s="19" t="str"/>
      <x:c r="P36" s="19" t="str">
        <x:v>Ambiguous / incidental</x:v>
      </x:c>
      <x:c r="Q36" s="19" t="str">
        <x:v>No</x:v>
      </x:c>
      <x:c r="R36" s="19" t="str">
        <x:v>LLM review</x:v>
      </x:c>
      <x:c r="S36" s="19" t="str">
        <x:v>Yes</x:v>
      </x:c>
      <x:c r="T36" s="22" t="str">
        <x:v>The brand is discovered through a tag/mention but is not clearly the subject of the caption.</x:v>
      </x:c>
    </x:row>
    <x:row r="37">
      <x:c r="A37" s="9" t="str">
        <x:v>Instagram</x:v>
      </x:c>
      <x:c r="B37" s="10" t="str">
        <x:v>IG hashtag</x:v>
      </x:c>
      <x:c r="C37" s="10" t="str">
        <x:v>3919652941711094146</x:v>
      </x:c>
      <x:c r="D37" s="16" t="n">
        <x:v>46187.97064814815</x:v>
      </x:c>
      <x:c r="E37" s="10" t="str">
        <x:v>godin.jpg</x:v>
      </x:c>
      <x:c r="F37" s="10" t="str">
        <x:v>Sidecar</x:v>
      </x:c>
      <x:c r="G37"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37" s="19" t="str">
        <x:v>#designforsale #clothingbrand #designs #streetwearbrand #streetwear #streetweardesigner #usastreetwear #americanapparel #urbanfashion #fashiondesigners</x:v>
      </x:c>
      <x:c r="I37" s="19" t="str">
        <x:v>@thegvgallery</x:v>
      </x:c>
      <x:c r="J37" s="25" t="n">
        <x:v>4</x:v>
      </x:c>
      <x:c r="K37" s="25" t="n">
        <x:v>5</x:v>
      </x:c>
      <x:c r="L37" s="25" t="n">
        <x:v>0</x:v>
      </x:c>
      <x:c r="M37" s="25" t="n">
        <x:v>0</x:v>
      </x:c>
      <x:c r="N37" s="19" t="str">
        <x:v>https://www.instagram.com/p/DZlZ5VRgTGC/</x:v>
      </x:c>
      <x:c r="O37" s="19" t="str"/>
      <x:c r="P37" s="19" t="str">
        <x:v>Design-sale noise</x:v>
      </x:c>
      <x:c r="Q37" s="19" t="str">
        <x:v>No</x:v>
      </x:c>
      <x:c r="R37" s="19" t="str">
        <x:v>Skip</x:v>
      </x:c>
      <x:c r="S37" s="19" t="str">
        <x:v>No</x:v>
      </x:c>
      <x:c r="T37" s="22" t="str">
        <x:v>Design/mockup sale language; not consumer discussion of American Apparel.</x:v>
      </x:c>
    </x:row>
    <x:row r="38">
      <x:c r="A38" s="9" t="str">
        <x:v>Instagram</x:v>
      </x:c>
      <x:c r="B38" s="10" t="str">
        <x:v>IG mention</x:v>
      </x:c>
      <x:c r="C38" s="10" t="str">
        <x:v>3921571161976915930</x:v>
      </x:c>
      <x:c r="D38" s="16" t="n">
        <x:v>46190.61728009259</x:v>
      </x:c>
      <x:c r="E38" s="10" t="str">
        <x:v>toutconti</x:v>
      </x:c>
      <x:c r="F38" s="10" t="str">
        <x:v>Sidecar</x:v>
      </x:c>
      <x:c r="G38" s="19" t="str">
        <x:v>looking for some festival inspo ? a few of our favourite pieces now available at the usual spots 🏹 #misssixty #vinted #festivalfashion</x:v>
      </x:c>
      <x:c r="H38" s="19" t="str">
        <x:v>#misssixty #vinted #festivalfashion</x:v>
      </x:c>
      <x:c r="I38" s="19" t="str">
        <x:v>@desigual @americanapparel @pepejeans @misssixty @firetrap_london</x:v>
      </x:c>
      <x:c r="J38" s="25" t="n">
        <x:v>4</x:v>
      </x:c>
      <x:c r="K38" s="25" t="n">
        <x:v>12</x:v>
      </x:c>
      <x:c r="L38" s="25" t="n">
        <x:v>0</x:v>
      </x:c>
      <x:c r="M38" s="25" t="n">
        <x:v>0</x:v>
      </x:c>
      <x:c r="N38" s="19" t="str">
        <x:v>https://www.instagram.com/p/DZsODHHDMfa/</x:v>
      </x:c>
      <x:c r="O38" s="19" t="str"/>
      <x:c r="P38" s="19" t="str">
        <x:v>Ambiguous / incidental</x:v>
      </x:c>
      <x:c r="Q38" s="19" t="str">
        <x:v>No</x:v>
      </x:c>
      <x:c r="R38" s="19" t="str">
        <x:v>LLM review</x:v>
      </x:c>
      <x:c r="S38" s="19" t="str">
        <x:v>Yes</x:v>
      </x:c>
      <x:c r="T38" s="22" t="str">
        <x:v>The brand is discovered through a tag/mention but is not clearly the subject of the caption.</x:v>
      </x:c>
    </x:row>
    <x:row r="39">
      <x:c r="A39" s="9" t="str">
        <x:v>Instagram</x:v>
      </x:c>
      <x:c r="B39" s="10" t="str">
        <x:v>IG hashtag</x:v>
      </x:c>
      <x:c r="C39" s="10" t="str">
        <x:v>3922981040835076868</x:v>
      </x:c>
      <x:c r="D39" s="16" t="n">
        <x:v>46192.56255787037</x:v>
      </x:c>
      <x:c r="E39" s="10" t="str">
        <x:v>americanapparelindia</x:v>
      </x:c>
      <x:c r="F39" s="10" t="str">
        <x:v>Image</x:v>
      </x:c>
      <x:c r="G39" s="19" t="str">
        <x:v>Fine Jersey remains a classic for a reason, lightweight comfort with a premium finish. Visit us: https://www.myntra.com/tshirts/american+apparel/american-apparel-unisex-solid-round-neck-short-sleeve-t-shirt/37706434/buy #AmericanApparel #FineJersey #LuxuryBasics #PremiumWear #EverydayTee #Reach</x:v>
      </x:c>
      <x:c r="H39" s="19" t="str">
        <x:v>#AmericanApparel #FineJersey #LuxuryBasics #PremiumWear #EverydayTee #Reach</x:v>
      </x:c>
      <x:c r="I39" s="19" t="str"/>
      <x:c r="J39" s="25" t="n">
        <x:v>4</x:v>
      </x:c>
      <x:c r="K39" s="25" t="n">
        <x:v>862</x:v>
      </x:c>
      <x:c r="L39" s="25" t="n">
        <x:v>0</x:v>
      </x:c>
      <x:c r="M39" s="25" t="n">
        <x:v>0</x:v>
      </x:c>
      <x:c r="N39" s="19" t="str">
        <x:v>https://www.instagram.com/p/DZxOnjHkSME/</x:v>
      </x:c>
      <x:c r="O39" s="19" t="str">
        <x:v>Fine Jersey</x:v>
      </x:c>
      <x:c r="P39" s="19" t="str">
        <x:v>Likely relevant</x:v>
      </x:c>
      <x:c r="Q39" s="19" t="str">
        <x:v>No</x:v>
      </x:c>
      <x:c r="R39" s="19" t="str">
        <x:v>Scrape comments</x:v>
      </x:c>
      <x:c r="S39" s="19" t="str">
        <x:v>No</x:v>
      </x:c>
      <x:c r="T39" s="22" t="str">
        <x:v>The post explicitly names/tags American Apparel or an identified AA product/style.</x:v>
      </x:c>
    </x:row>
    <x:row r="40">
      <x:c r="A40" s="9" t="str">
        <x:v>Instagram</x:v>
      </x:c>
      <x:c r="B40" s="10" t="str">
        <x:v>IG mention</x:v>
      </x:c>
      <x:c r="C40" s="10" t="str">
        <x:v>3924239614076703360</x:v>
      </x:c>
      <x:c r="D40" s="16" t="n">
        <x:v>46194.299050925925</x:v>
      </x:c>
      <x:c r="E40" s="10" t="str">
        <x:v>vixenchronicles</x:v>
      </x:c>
      <x:c r="F40" s="10" t="str">
        <x:v>Sidecar</x:v>
      </x:c>
      <x:c r="G40" s="19" t="str">
        <x:v>Memory Spread💵💵💵💵✨🌊🌀🤎🖤⛎✨💵💵💵💵</x:v>
      </x:c>
      <x:c r="H40" s="19" t="str"/>
      <x:c r="I40" s="19" t="str">
        <x:v>@americanapparel @cadeemlamarr @jayswann_ @1vayda @bbyafricka @ily2chino</x:v>
      </x:c>
      <x:c r="J40" s="25" t="n">
        <x:v>4</x:v>
      </x:c>
      <x:c r="K40" s="25" t="n">
        <x:v>129</x:v>
      </x:c>
      <x:c r="L40" s="25" t="n">
        <x:v>0</x:v>
      </x:c>
      <x:c r="M40" s="25" t="n">
        <x:v>0</x:v>
      </x:c>
      <x:c r="N40" s="19" t="str">
        <x:v>https://www.instagram.com/p/DZ1syMyjtKA/</x:v>
      </x:c>
      <x:c r="O40" s="19" t="str"/>
      <x:c r="P40" s="19" t="str">
        <x:v>Ambiguous / incidental</x:v>
      </x:c>
      <x:c r="Q40" s="19" t="str">
        <x:v>No</x:v>
      </x:c>
      <x:c r="R40" s="19" t="str">
        <x:v>LLM review</x:v>
      </x:c>
      <x:c r="S40" s="19" t="str">
        <x:v>Yes</x:v>
      </x:c>
      <x:c r="T40" s="22" t="str">
        <x:v>The brand is discovered through a tag/mention but is not clearly the subject of the caption.</x:v>
      </x:c>
    </x:row>
    <x:row r="41">
      <x:c r="A41" s="9" t="str">
        <x:v>Instagram</x:v>
      </x:c>
      <x:c r="B41" s="10" t="str">
        <x:v>IG hashtag</x:v>
      </x:c>
      <x:c r="C41" s="10" t="str">
        <x:v>3928955979798009930</x:v>
      </x:c>
      <x:c r="D41" s="16" t="n">
        <x:v>46200.80638888889</x:v>
      </x:c>
      <x:c r="E41" s="10" t="str">
        <x:v>godin.jpg</x:v>
      </x:c>
      <x:c r="F41" s="10" t="str">
        <x:v>Sidecar</x:v>
      </x:c>
      <x:c r="G41"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41" s="19" t="str">
        <x:v>#designforsale #clothingbrand #designs #streetwearbrand #streetwear #streetweardesigner #usastreetwear #americanapparel #urbanfashion #fashiondesigners</x:v>
      </x:c>
      <x:c r="I41" s="19" t="str">
        <x:v>@motecali</x:v>
      </x:c>
      <x:c r="J41" s="25" t="n">
        <x:v>4</x:v>
      </x:c>
      <x:c r="K41" s="25" t="n">
        <x:v>5</x:v>
      </x:c>
      <x:c r="L41" s="25" t="n">
        <x:v>0</x:v>
      </x:c>
      <x:c r="M41" s="25" t="n">
        <x:v>0</x:v>
      </x:c>
      <x:c r="N41" s="19" t="str">
        <x:v>https://www.instagram.com/p/DaGdKWqAdhK/</x:v>
      </x:c>
      <x:c r="O41" s="19" t="str"/>
      <x:c r="P41" s="19" t="str">
        <x:v>Design-sale noise</x:v>
      </x:c>
      <x:c r="Q41" s="19" t="str">
        <x:v>No</x:v>
      </x:c>
      <x:c r="R41" s="19" t="str">
        <x:v>Skip</x:v>
      </x:c>
      <x:c r="S41" s="19" t="str">
        <x:v>No</x:v>
      </x:c>
      <x:c r="T41" s="22" t="str">
        <x:v>Design/mockup sale language; not consumer discussion of American Apparel.</x:v>
      </x:c>
    </x:row>
    <x:row r="42">
      <x:c r="A42" s="9" t="str">
        <x:v>Instagram</x:v>
      </x:c>
      <x:c r="B42" s="10" t="str">
        <x:v>IG mention</x:v>
      </x:c>
      <x:c r="C42" s="10" t="str">
        <x:v>3919101733017169089</x:v>
      </x:c>
      <x:c r="D42" s="16" t="n">
        <x:v>46187.210127314815</x:v>
      </x:c>
      <x:c r="E42" s="10" t="str">
        <x:v>alexa.dodd</x:v>
      </x:c>
      <x:c r="F42" s="10" t="str">
        <x:v>Sidecar</x:v>
      </x:c>
      <x:c r="G42" s="19" t="str">
        <x:v>never had a bad day at the beach 😎 also I’d like for you all to know that my swim suit bottoms are from THE @americanapparel circa 2010</x:v>
      </x:c>
      <x:c r="H42" s="19" t="str"/>
      <x:c r="I42" s="19" t="str">
        <x:v>@americanapparel @quiksilver @duvin @skims</x:v>
      </x:c>
      <x:c r="J42" s="25" t="n">
        <x:v>3</x:v>
      </x:c>
      <x:c r="K42" s="25" t="n">
        <x:v>36</x:v>
      </x:c>
      <x:c r="L42" s="25" t="n">
        <x:v>0</x:v>
      </x:c>
      <x:c r="M42" s="25" t="n">
        <x:v>0</x:v>
      </x:c>
      <x:c r="N42" s="19" t="str">
        <x:v>https://www.instagram.com/p/DZjckMLGyzB/</x:v>
      </x:c>
      <x:c r="O42" s="19" t="str"/>
      <x:c r="P42" s="19" t="str">
        <x:v>Likely relevant</x:v>
      </x:c>
      <x:c r="Q42" s="19" t="str">
        <x:v>No</x:v>
      </x:c>
      <x:c r="R42" s="19" t="str">
        <x:v>Scrape comments</x:v>
      </x:c>
      <x:c r="S42" s="19" t="str">
        <x:v>No</x:v>
      </x:c>
      <x:c r="T42" s="22" t="str">
        <x:v>The post explicitly names/tags American Apparel or an identified AA product/style.</x:v>
      </x:c>
    </x:row>
    <x:row r="43">
      <x:c r="A43" s="9" t="str">
        <x:v>Instagram</x:v>
      </x:c>
      <x:c r="B43" s="10" t="str">
        <x:v>IG hashtag</x:v>
      </x:c>
      <x:c r="C43" s="10" t="str">
        <x:v>3920919986424775522</x:v>
      </x:c>
      <x:c r="D43" s="16" t="n">
        <x:v>46189.718831018516</x:v>
      </x:c>
      <x:c r="E43" s="10" t="str">
        <x:v>andysdisaster</x:v>
      </x:c>
      <x:c r="F43" s="10" t="str">
        <x:v>Sidecar</x:v>
      </x:c>
      <x:c r="G43" s="19" t="str">
        <x:v>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43" s="19" t="str">
        <x:v>#americanapparel #streetwear #clothing #unitedstates #clothingbrand</x:v>
      </x:c>
      <x:c r="I43" s="19" t="str"/>
      <x:c r="J43" s="25" t="n">
        <x:v>3</x:v>
      </x:c>
      <x:c r="K43" s="25" t="n">
        <x:v>46</x:v>
      </x:c>
      <x:c r="L43" s="25" t="n">
        <x:v>0</x:v>
      </x:c>
      <x:c r="M43" s="25" t="n">
        <x:v>0</x:v>
      </x:c>
      <x:c r="N43" s="19" t="str">
        <x:v>https://www.instagram.com/p/DZp5_QnlANi/</x:v>
      </x:c>
      <x:c r="O43" s="19" t="str"/>
      <x:c r="P43" s="19" t="str">
        <x:v>Design-sale noise</x:v>
      </x:c>
      <x:c r="Q43" s="19" t="str">
        <x:v>No</x:v>
      </x:c>
      <x:c r="R43" s="19" t="str">
        <x:v>Skip</x:v>
      </x:c>
      <x:c r="S43" s="19" t="str">
        <x:v>No</x:v>
      </x:c>
      <x:c r="T43" s="22" t="str">
        <x:v>Design/mockup sale language; not consumer discussion of American Apparel.</x:v>
      </x:c>
    </x:row>
    <x:row r="44">
      <x:c r="A44" s="9" t="str">
        <x:v>Instagram</x:v>
      </x:c>
      <x:c r="B44" s="10" t="str">
        <x:v>IG hashtag</x:v>
      </x:c>
      <x:c r="C44" s="10" t="str">
        <x:v>3921116946413936216</x:v>
      </x:c>
      <x:c r="D44" s="16" t="n">
        <x:v>46189.991944444446</x:v>
      </x:c>
      <x:c r="E44" s="10" t="str">
        <x:v>chienrougee</x:v>
      </x:c>
      <x:c r="F44" s="10" t="str">
        <x:v>Image</x:v>
      </x:c>
      <x:c r="G44" s="19" t="str">
        <x:v>Pop up in 3 dog days #ouh #americanapparel #chienrouge #vendredi photo @vrsmissn</x:v>
      </x:c>
      <x:c r="H44" s="19" t="str">
        <x:v>#ouh #americanapparel #chienrouge #vendredi</x:v>
      </x:c>
      <x:c r="I44" s="19" t="str">
        <x:v>@vrsmissn @matildarichert @leoniemaai</x:v>
      </x:c>
      <x:c r="J44" s="25" t="n">
        <x:v>3</x:v>
      </x:c>
      <x:c r="K44" s="25" t="n">
        <x:v>-1</x:v>
      </x:c>
      <x:c r="L44" s="25" t="n">
        <x:v>0</x:v>
      </x:c>
      <x:c r="M44" s="25" t="n">
        <x:v>0</x:v>
      </x:c>
      <x:c r="N44" s="19" t="str">
        <x:v>https://www.instagram.com/p/DZqmxZ5xF5Y/</x:v>
      </x:c>
      <x:c r="O44" s="19" t="str"/>
      <x:c r="P44" s="19" t="str">
        <x:v>Likely relevant</x:v>
      </x:c>
      <x:c r="Q44" s="19" t="str">
        <x:v>No</x:v>
      </x:c>
      <x:c r="R44" s="19" t="str">
        <x:v>Scrape comments</x:v>
      </x:c>
      <x:c r="S44" s="19" t="str">
        <x:v>No</x:v>
      </x:c>
      <x:c r="T44" s="22" t="str">
        <x:v>The post explicitly names/tags American Apparel or an identified AA product/style.</x:v>
      </x:c>
    </x:row>
    <x:row r="45">
      <x:c r="A45" s="9" t="str">
        <x:v>Instagram</x:v>
      </x:c>
      <x:c r="B45" s="10" t="str">
        <x:v>IG hashtag</x:v>
      </x:c>
      <x:c r="C45" s="10" t="str">
        <x:v>3921523113225325732</x:v>
      </x:c>
      <x:c r="D45" s="16" t="n">
        <x:v>46190.55427083333</x:v>
      </x:c>
      <x:c r="E45" s="10" t="str">
        <x:v>riverbed_threads</x:v>
      </x:c>
      <x:c r="F45" s="10" t="str">
        <x:v>Image</x:v>
      </x:c>
      <x:c r="G45" s="19" t="str">
        <x:v>The fourth is right around the corner 🇺🇸 Stock up your American style with our Spirit of ‘76 collection! #riverbedthreads #lcelizabeth #americanapparel #july4th #americas250thbirthday</x:v>
      </x:c>
      <x:c r="H45" s="19" t="str">
        <x:v>#riverbedthreads #lcelizabeth #americanapparel #july4th #americas250thbirthday</x:v>
      </x:c>
      <x:c r="I45" s="19" t="str">
        <x:v>@lcelizabeth_</x:v>
      </x:c>
      <x:c r="J45" s="25" t="n">
        <x:v>3</x:v>
      </x:c>
      <x:c r="K45" s="25" t="n">
        <x:v>-1</x:v>
      </x:c>
      <x:c r="L45" s="25" t="n">
        <x:v>0</x:v>
      </x:c>
      <x:c r="M45" s="25" t="n">
        <x:v>0</x:v>
      </x:c>
      <x:c r="N45" s="19" t="str">
        <x:v>https://www.instagram.com/p/DZsDH6OR4yk/</x:v>
      </x:c>
      <x:c r="O45" s="19" t="str"/>
      <x:c r="P45" s="19" t="str">
        <x:v>Likely relevant</x:v>
      </x:c>
      <x:c r="Q45" s="19" t="str">
        <x:v>No</x:v>
      </x:c>
      <x:c r="R45" s="19" t="str">
        <x:v>Scrape comments</x:v>
      </x:c>
      <x:c r="S45" s="19" t="str">
        <x:v>No</x:v>
      </x:c>
      <x:c r="T45" s="22" t="str">
        <x:v>The post explicitly names/tags American Apparel or an identified AA product/style.</x:v>
      </x:c>
    </x:row>
    <x:row r="46">
      <x:c r="A46" s="9" t="str">
        <x:v>Instagram</x:v>
      </x:c>
      <x:c r="B46" s="10" t="str">
        <x:v>IG mention</x:v>
      </x:c>
      <x:c r="C46" s="10" t="str">
        <x:v>3921581560498159511</x:v>
      </x:c>
      <x:c r="D46" s="16" t="n">
        <x:v>46190.63295138889</x:v>
      </x:c>
      <x:c r="E46" s="10" t="str">
        <x:v>lanay.el</x:v>
      </x:c>
      <x:c r="F46" s="10" t="str">
        <x:v>Video</x:v>
      </x:c>
      <x:c r="G46" s="19" t="str">
        <x:v>Look du jour! Ma tenue : Pantalon @_beyond_nine Top @americanapparel Chaussures @jonak</x:v>
      </x:c>
      <x:c r="H46" s="19" t="str"/>
      <x:c r="I46" s="19" t="str">
        <x:v>@_beyond_nine @americanapparel @jonak</x:v>
      </x:c>
      <x:c r="J46" s="25" t="n">
        <x:v>3</x:v>
      </x:c>
      <x:c r="K46" s="25" t="n">
        <x:v>29</x:v>
      </x:c>
      <x:c r="L46" s="25" t="n">
        <x:v>0</x:v>
      </x:c>
      <x:c r="M46" s="25" t="n">
        <x:v>0</x:v>
      </x:c>
      <x:c r="N46" s="19" t="str">
        <x:v>https://www.instagram.com/p/DZsQabfNv-X/</x:v>
      </x:c>
      <x:c r="O46" s="19" t="str"/>
      <x:c r="P46" s="19" t="str">
        <x:v>Likely relevant</x:v>
      </x:c>
      <x:c r="Q46" s="19" t="str">
        <x:v>No</x:v>
      </x:c>
      <x:c r="R46" s="19" t="str">
        <x:v>Scrape comments</x:v>
      </x:c>
      <x:c r="S46" s="19" t="str">
        <x:v>No</x:v>
      </x:c>
      <x:c r="T46" s="22" t="str">
        <x:v>The post explicitly names/tags American Apparel or an identified AA product/style.</x:v>
      </x:c>
    </x:row>
    <x:row r="47">
      <x:c r="A47" s="9" t="str">
        <x:v>Instagram</x:v>
      </x:c>
      <x:c r="B47" s="10" t="str">
        <x:v>IG mention</x:v>
      </x:c>
      <x:c r="C47" s="10" t="str">
        <x:v>3923170980448983220</x:v>
      </x:c>
      <x:c r="D47" s="16" t="n">
        <x:v>46193.112488425926</x:v>
      </x:c>
      <x:c r="E47" s="10" t="str">
        <x:v>thatssoyin</x:v>
      </x:c>
      <x:c r="F47" s="10" t="str">
        <x:v>Video</x:v>
      </x:c>
      <x:c r="G47" s="19" t="str">
        <x:v>DISNEY OUTFIT INSPO! Top @aeropostale Shorts @americanapparel Sunnies @blueelephant.co zaza khaki Earrings Idole Hour (discontinued) Fanny @herschelsupply Wallet @katespadeny Pompompurin @miniso.official Ears @disney Lip combo @lorealparis blurfiller nude espresso + @laka.official glam tint toffee</x:v>
      </x:c>
      <x:c r="H47" s="19" t="str"/>
      <x:c r="I47" s="19" t="str">
        <x:v>@aeropostale @americanapparel @blueelephant.co @herschelsupply @katespadeny @miniso.official @disney @lorealparis @laka.official</x:v>
      </x:c>
      <x:c r="J47" s="25" t="n">
        <x:v>3</x:v>
      </x:c>
      <x:c r="K47" s="25" t="n">
        <x:v>47</x:v>
      </x:c>
      <x:c r="L47" s="25" t="n">
        <x:v>0</x:v>
      </x:c>
      <x:c r="M47" s="25" t="n">
        <x:v>0</x:v>
      </x:c>
      <x:c r="N47" s="19" t="str">
        <x:v>https://www.instagram.com/p/DZx5ziKyFi0/</x:v>
      </x:c>
      <x:c r="O47" s="19" t="str"/>
      <x:c r="P47" s="19" t="str">
        <x:v>Likely relevant</x:v>
      </x:c>
      <x:c r="Q47" s="19" t="str">
        <x:v>No</x:v>
      </x:c>
      <x:c r="R47" s="19" t="str">
        <x:v>Scrape comments</x:v>
      </x:c>
      <x:c r="S47" s="19" t="str">
        <x:v>No</x:v>
      </x:c>
      <x:c r="T47" s="22" t="str">
        <x:v>The post explicitly names/tags American Apparel or an identified AA product/style.</x:v>
      </x:c>
    </x:row>
    <x:row r="48">
      <x:c r="A48" s="9" t="str">
        <x:v>Instagram</x:v>
      </x:c>
      <x:c r="B48" s="10" t="str">
        <x:v>IG hashtag</x:v>
      </x:c>
      <x:c r="C48" s="10" t="str">
        <x:v>3923813749596691620</x:v>
      </x:c>
      <x:c r="D48" s="16" t="n">
        <x:v>46193.71146990741</x:v>
      </x:c>
      <x:c r="E48" s="10" t="str">
        <x:v>godin.jpg</x:v>
      </x:c>
      <x:c r="F48" s="10" t="str">
        <x:v>Sidecar</x:v>
      </x:c>
      <x:c r="G48"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48" s="19" t="str">
        <x:v>#designforsale #clothingbrand #designs #streetwearbrand #streetwear #streetweardesigner #usastreetwear #americanapparel #urbanfashion #fashiondesigners</x:v>
      </x:c>
      <x:c r="I48" s="19" t="str"/>
      <x:c r="J48" s="25" t="n">
        <x:v>3</x:v>
      </x:c>
      <x:c r="K48" s="25" t="n">
        <x:v>3</x:v>
      </x:c>
      <x:c r="L48" s="25" t="n">
        <x:v>0</x:v>
      </x:c>
      <x:c r="M48" s="25" t="n">
        <x:v>0</x:v>
      </x:c>
      <x:c r="N48" s="19" t="str">
        <x:v>https://www.instagram.com/p/DZ0L9DlgRyk/</x:v>
      </x:c>
      <x:c r="O48" s="19" t="str"/>
      <x:c r="P48" s="19" t="str">
        <x:v>Design-sale noise</x:v>
      </x:c>
      <x:c r="Q48" s="19" t="str">
        <x:v>No</x:v>
      </x:c>
      <x:c r="R48" s="19" t="str">
        <x:v>Skip</x:v>
      </x:c>
      <x:c r="S48" s="19" t="str">
        <x:v>No</x:v>
      </x:c>
      <x:c r="T48" s="22" t="str">
        <x:v>Design/mockup sale language; not consumer discussion of American Apparel.</x:v>
      </x:c>
    </x:row>
    <x:row r="49">
      <x:c r="A49" s="9" t="str">
        <x:v>Instagram</x:v>
      </x:c>
      <x:c r="B49" s="10" t="str">
        <x:v>IG mention + IG hashtag</x:v>
      </x:c>
      <x:c r="C49" s="10" t="str">
        <x:v>3924288106337825760</x:v>
      </x:c>
      <x:c r="D49" s="16" t="n">
        <x:v>46194.365949074076</x:v>
      </x:c>
      <x:c r="E49" s="10" t="str">
        <x:v>lamaisongaga_</x:v>
      </x:c>
      <x:c r="F49" s="10" t="str">
        <x:v>Sidecar</x:v>
      </x:c>
      <x:c r="G49" s="19" t="str">
        <x:v>Out &amp; About | New York City, USA 🇺🇸 | January 20, 2011 A few lucky fans met Lady Gaga while she looked casual yet still very her in the @AmericanApparel black cotton unisex zip hoodie with contrasting white zipper and drawstrings, she wore underneath her vintage black leather biker vest. The sunnies are "F.D.R." (Franklin Delano Roosevelt) by @TartOpticalUSA eyewear collection in "Demi Amber" from #JacksEyewear store in LA, produced by the label back in the 50s. More on lamaisongaga.com | #AmericanApparel #TartOpticalEnterprises</x:v>
      </x:c>
      <x:c r="H49" s="19" t="str">
        <x:v>#JacksEyewear #AmericanApparel #TartOpticalEnterprises</x:v>
      </x:c>
      <x:c r="I49" s="19" t="str">
        <x:v>@AmericanApparel @TartOpticalUSA @americanapparel @tartopticalusa</x:v>
      </x:c>
      <x:c r="J49" s="25" t="n">
        <x:v>3</x:v>
      </x:c>
      <x:c r="K49" s="25" t="n">
        <x:v>-1</x:v>
      </x:c>
      <x:c r="L49" s="25" t="n">
        <x:v>0</x:v>
      </x:c>
      <x:c r="M49" s="25" t="n">
        <x:v>0</x:v>
      </x:c>
      <x:c r="N49" s="19" t="str">
        <x:v>https://www.instagram.com/p/DZ13z2ujnPg/</x:v>
      </x:c>
      <x:c r="O49" s="19" t="str">
        <x:v>Hoodie</x:v>
      </x:c>
      <x:c r="P49" s="19" t="str">
        <x:v>Likely relevant</x:v>
      </x:c>
      <x:c r="Q49" s="19" t="str">
        <x:v>No</x:v>
      </x:c>
      <x:c r="R49" s="19" t="str">
        <x:v>Scrape comments</x:v>
      </x:c>
      <x:c r="S49" s="19" t="str">
        <x:v>No</x:v>
      </x:c>
      <x:c r="T49" s="22" t="str">
        <x:v>The post explicitly names/tags American Apparel or an identified AA product/style.</x:v>
      </x:c>
    </x:row>
    <x:row r="50">
      <x:c r="A50" s="9" t="str">
        <x:v>Instagram</x:v>
      </x:c>
      <x:c r="B50" s="10" t="str">
        <x:v>IG hashtag</x:v>
      </x:c>
      <x:c r="C50" s="10" t="str">
        <x:v>3925391458035806848</x:v>
      </x:c>
      <x:c r="D50" s="16" t="n">
        <x:v>46195.888287037036</x:v>
      </x:c>
      <x:c r="E50" s="10" t="str">
        <x:v>andysdisaster</x:v>
      </x:c>
      <x:c r="F50" s="10" t="str">
        <x:v>Sidecar</x:v>
      </x:c>
      <x:c r="G50" s="19" t="str">
        <x:v>Streetwear Graphic Design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50" s="19" t="str">
        <x:v>#americanapparel #streetwear #clothing #unitedstates #clothingbrand</x:v>
      </x:c>
      <x:c r="I50" s="19" t="str"/>
      <x:c r="J50" s="25" t="n">
        <x:v>3</x:v>
      </x:c>
      <x:c r="K50" s="25" t="n">
        <x:v>40</x:v>
      </x:c>
      <x:c r="L50" s="25" t="n">
        <x:v>0</x:v>
      </x:c>
      <x:c r="M50" s="25" t="n">
        <x:v>0</x:v>
      </x:c>
      <x:c r="N50" s="19" t="str">
        <x:v>https://www.instagram.com/p/DZ5yrvEk7KA/</x:v>
      </x:c>
      <x:c r="O50" s="19" t="str"/>
      <x:c r="P50" s="19" t="str">
        <x:v>Design-sale noise</x:v>
      </x:c>
      <x:c r="Q50" s="19" t="str">
        <x:v>No</x:v>
      </x:c>
      <x:c r="R50" s="19" t="str">
        <x:v>Skip</x:v>
      </x:c>
      <x:c r="S50" s="19" t="str">
        <x:v>No</x:v>
      </x:c>
      <x:c r="T50" s="22" t="str">
        <x:v>Design/mockup sale language; not consumer discussion of American Apparel.</x:v>
      </x:c>
    </x:row>
    <x:row r="51">
      <x:c r="A51" s="9" t="str">
        <x:v>Instagram</x:v>
      </x:c>
      <x:c r="B51" s="10" t="str">
        <x:v>IG hashtag</x:v>
      </x:c>
      <x:c r="C51" s="10" t="str">
        <x:v>3927360911246119190</x:v>
      </x:c>
      <x:c r="D51" s="16" t="n">
        <x:v>46198.60561342593</x:v>
      </x:c>
      <x:c r="E51" s="10" t="str">
        <x:v>andysdisaster</x:v>
      </x:c>
      <x:c r="F51" s="10" t="str">
        <x:v>Sidecar</x:v>
      </x:c>
      <x:c r="G51" s="19" t="str">
        <x:v>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51" s="19" t="str">
        <x:v>#americanapparel #streetwear #clothing #unitedstates #clothingbrand</x:v>
      </x:c>
      <x:c r="I51" s="19" t="str"/>
      <x:c r="J51" s="25" t="n">
        <x:v>3</x:v>
      </x:c>
      <x:c r="K51" s="25" t="n">
        <x:v>27</x:v>
      </x:c>
      <x:c r="L51" s="25" t="n">
        <x:v>0</x:v>
      </x:c>
      <x:c r="M51" s="25" t="n">
        <x:v>0</x:v>
      </x:c>
      <x:c r="N51" s="19" t="str">
        <x:v>https://www.instagram.com/p/DaAyfDTlFEW/</x:v>
      </x:c>
      <x:c r="O51" s="19" t="str"/>
      <x:c r="P51" s="19" t="str">
        <x:v>Design-sale noise</x:v>
      </x:c>
      <x:c r="Q51" s="19" t="str">
        <x:v>No</x:v>
      </x:c>
      <x:c r="R51" s="19" t="str">
        <x:v>Skip</x:v>
      </x:c>
      <x:c r="S51" s="19" t="str">
        <x:v>No</x:v>
      </x:c>
      <x:c r="T51" s="22" t="str">
        <x:v>Design/mockup sale language; not consumer discussion of American Apparel.</x:v>
      </x:c>
    </x:row>
    <x:row r="52">
      <x:c r="A52" s="9" t="str">
        <x:v>Instagram</x:v>
      </x:c>
      <x:c r="B52" s="10" t="str">
        <x:v>IG mention</x:v>
      </x:c>
      <x:c r="C52" s="10" t="str">
        <x:v>3927686946549945575</x:v>
      </x:c>
      <x:c r="D52" s="16" t="n">
        <x:v>46199.05546296296</x:v>
      </x:c>
      <x:c r="E52" s="10" t="str">
        <x:v>styld.edit</x:v>
      </x:c>
      <x:c r="F52" s="10" t="str">
        <x:v>Sidecar</x:v>
      </x:c>
      <x:c r="G52" s="19" t="str">
        <x:v>4th of July Outfit Inspo 🇺🇸 #fourthofjulyoutfit #outfitinspiration #fashionﬁnds #virtualstylist #4thofjulyoutfit</x:v>
      </x:c>
      <x:c r="H52" s="19" t="str">
        <x:v>#fourthofjulyoutfit #outfitinspiration #fashionﬁnds #virtualstylist #4thofjulyoutfit</x:v>
      </x:c>
      <x:c r="I52" s="19" t="str">
        <x:v>@havaianas.us @ebdenim @dairyboy @garageclothing @ganni @emijayinc @americanapparel</x:v>
      </x:c>
      <x:c r="J52" s="25" t="n">
        <x:v>3</x:v>
      </x:c>
      <x:c r="K52" s="25" t="n">
        <x:v>11</x:v>
      </x:c>
      <x:c r="L52" s="25" t="n">
        <x:v>0</x:v>
      </x:c>
      <x:c r="M52" s="25" t="n">
        <x:v>0</x:v>
      </x:c>
      <x:c r="N52" s="19" t="str">
        <x:v>https://www.instagram.com/p/DaB8nfWDFTn/</x:v>
      </x:c>
      <x:c r="O52" s="19" t="str"/>
      <x:c r="P52" s="19" t="str">
        <x:v>Ambiguous / incidental</x:v>
      </x:c>
      <x:c r="Q52" s="19" t="str">
        <x:v>No</x:v>
      </x:c>
      <x:c r="R52" s="19" t="str">
        <x:v>LLM review</x:v>
      </x:c>
      <x:c r="S52" s="19" t="str">
        <x:v>Yes</x:v>
      </x:c>
      <x:c r="T52" s="22" t="str">
        <x:v>The brand is discovered through a tag/mention but is not clearly the subject of the caption.</x:v>
      </x:c>
    </x:row>
    <x:row r="53">
      <x:c r="A53" s="9" t="str">
        <x:v>Instagram</x:v>
      </x:c>
      <x:c r="B53" s="10" t="str">
        <x:v>IG hashtag</x:v>
      </x:c>
      <x:c r="C53" s="10" t="str">
        <x:v>3928785894237320584</x:v>
      </x:c>
      <x:c r="D53" s="16" t="n">
        <x:v>46200.57171296296</x:v>
      </x:c>
      <x:c r="E53" s="10" t="str">
        <x:v>andysdisaster</x:v>
      </x:c>
      <x:c r="F53" s="10" t="str">
        <x:v>Sidecar</x:v>
      </x:c>
      <x:c r="G53" s="19" t="str">
        <x:v>Graphic Design Availavle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53" s="19" t="str">
        <x:v>#americanapparel #streetwear #clothing #unitedstates #clothingbrand</x:v>
      </x:c>
      <x:c r="I53" s="19" t="str"/>
      <x:c r="J53" s="25" t="n">
        <x:v>3</x:v>
      </x:c>
      <x:c r="K53" s="25" t="n">
        <x:v>31</x:v>
      </x:c>
      <x:c r="L53" s="25" t="n">
        <x:v>0</x:v>
      </x:c>
      <x:c r="M53" s="25" t="n">
        <x:v>0</x:v>
      </x:c>
      <x:c r="N53" s="19" t="str">
        <x:v>https://www.instagram.com/p/DaF2fSIlLWI/</x:v>
      </x:c>
      <x:c r="O53" s="19" t="str"/>
      <x:c r="P53" s="19" t="str">
        <x:v>Design-sale noise</x:v>
      </x:c>
      <x:c r="Q53" s="19" t="str">
        <x:v>No</x:v>
      </x:c>
      <x:c r="R53" s="19" t="str">
        <x:v>Skip</x:v>
      </x:c>
      <x:c r="S53" s="19" t="str">
        <x:v>No</x:v>
      </x:c>
      <x:c r="T53" s="22" t="str">
        <x:v>Design/mockup sale language; not consumer discussion of American Apparel.</x:v>
      </x:c>
    </x:row>
    <x:row r="54">
      <x:c r="A54" s="9" t="str">
        <x:v>Instagram</x:v>
      </x:c>
      <x:c r="B54" s="10" t="str">
        <x:v>IG hashtag</x:v>
      </x:c>
      <x:c r="C54" s="10" t="str">
        <x:v>3928916215691594677</x:v>
      </x:c>
      <x:c r="D54" s="16" t="n">
        <x:v>46200.75152777778</x:v>
      </x:c>
      <x:c r="E54" s="10" t="str">
        <x:v>mooseranchboutique</x:v>
      </x:c>
      <x:c r="F54" s="10" t="str">
        <x:v>Sidecar</x:v>
      </x:c>
      <x:c r="G54" s="19" t="str">
        <x:v>🔥Grab these Favorites before they sell out! 40% off plus FREE SHIPPING! Ships next day! 🇺🇸 #boutique #americanapparel #womenapparel #boutiqueshopping #shopsmall</x:v>
      </x:c>
      <x:c r="H54" s="19" t="str">
        <x:v>#boutique #americanapparel #womenapparel #boutiqueshopping #shopsmall</x:v>
      </x:c>
      <x:c r="I54" s="19" t="str"/>
      <x:c r="J54" s="25" t="n">
        <x:v>3</x:v>
      </x:c>
      <x:c r="K54" s="25" t="n">
        <x:v>2</x:v>
      </x:c>
      <x:c r="L54" s="25" t="n">
        <x:v>0</x:v>
      </x:c>
      <x:c r="M54" s="25" t="n">
        <x:v>0</x:v>
      </x:c>
      <x:c r="N54" s="19" t="str">
        <x:v>https://www.instagram.com/p/DaGUHtckcu1/</x:v>
      </x:c>
      <x:c r="O54" s="19" t="str"/>
      <x:c r="P54" s="19" t="str">
        <x:v>Likely relevant</x:v>
      </x:c>
      <x:c r="Q54" s="19" t="str">
        <x:v>No</x:v>
      </x:c>
      <x:c r="R54" s="19" t="str">
        <x:v>Scrape comments</x:v>
      </x:c>
      <x:c r="S54" s="19" t="str">
        <x:v>No</x:v>
      </x:c>
      <x:c r="T54" s="22" t="str">
        <x:v>The post explicitly names/tags American Apparel or an identified AA product/style.</x:v>
      </x:c>
    </x:row>
    <x:row r="55">
      <x:c r="A55" s="9" t="str">
        <x:v>Instagram</x:v>
      </x:c>
      <x:c r="B55" s="10" t="str">
        <x:v>IG hashtag</x:v>
      </x:c>
      <x:c r="C55" s="10" t="str">
        <x:v>3929460377495329202</x:v>
      </x:c>
      <x:c r="D55" s="16" t="n">
        <x:v>46201.50232638889</x:v>
      </x:c>
      <x:c r="E55" s="10" t="str">
        <x:v>voidworks.usa</x:v>
      </x:c>
      <x:c r="F55" s="10" t="str">
        <x:v>Sidecar</x:v>
      </x:c>
      <x:c r="G55"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V026 #americanapparel #streetwear #clothing #unitedstates #clothingbrand</x:v>
      </x:c>
      <x:c r="H55" s="19" t="str">
        <x:v>#americanapparel #streetwear #clothing #unitedstates #clothingbrand</x:v>
      </x:c>
      <x:c r="I55" s="19" t="str"/>
      <x:c r="J55" s="25" t="n">
        <x:v>3</x:v>
      </x:c>
      <x:c r="K55" s="25" t="n">
        <x:v>3</x:v>
      </x:c>
      <x:c r="L55" s="25" t="n">
        <x:v>0</x:v>
      </x:c>
      <x:c r="M55" s="25" t="n">
        <x:v>0</x:v>
      </x:c>
      <x:c r="N55" s="19" t="str">
        <x:v>https://www.instagram.com/p/DaIP2TnlNmy/</x:v>
      </x:c>
      <x:c r="O55" s="19" t="str"/>
      <x:c r="P55" s="19" t="str">
        <x:v>Design-sale noise</x:v>
      </x:c>
      <x:c r="Q55" s="19" t="str">
        <x:v>No</x:v>
      </x:c>
      <x:c r="R55" s="19" t="str">
        <x:v>Skip</x:v>
      </x:c>
      <x:c r="S55" s="19" t="str">
        <x:v>No</x:v>
      </x:c>
      <x:c r="T55" s="22" t="str">
        <x:v>Design/mockup sale language; not consumer discussion of American Apparel.</x:v>
      </x:c>
    </x:row>
    <x:row r="56">
      <x:c r="A56" s="9" t="str">
        <x:v>Instagram</x:v>
      </x:c>
      <x:c r="B56" s="10" t="str">
        <x:v>IG hashtag</x:v>
      </x:c>
      <x:c r="C56" s="10" t="str">
        <x:v>3929599860123412291</x:v>
      </x:c>
      <x:c r="D56" s="16" t="n">
        <x:v>46201.69478009259</x:v>
      </x:c>
      <x:c r="E56" s="10" t="str">
        <x:v>andysdisaster</x:v>
      </x:c>
      <x:c r="F56" s="10" t="str">
        <x:v>Sidecar</x:v>
      </x:c>
      <x:c r="G56" s="19" t="str">
        <x:v>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56" s="19" t="str">
        <x:v>#americanapparel #streetwear #clothing #unitedstates #clothingbrand</x:v>
      </x:c>
      <x:c r="I56" s="19" t="str"/>
      <x:c r="J56" s="25" t="n">
        <x:v>3</x:v>
      </x:c>
      <x:c r="K56" s="25" t="n">
        <x:v>25</x:v>
      </x:c>
      <x:c r="L56" s="25" t="n">
        <x:v>0</x:v>
      </x:c>
      <x:c r="M56" s="25" t="n">
        <x:v>0</x:v>
      </x:c>
      <x:c r="N56" s="19" t="str">
        <x:v>https://www.instagram.com/p/DaIvkC8FKdD/</x:v>
      </x:c>
      <x:c r="O56" s="19" t="str"/>
      <x:c r="P56" s="19" t="str">
        <x:v>Design-sale noise</x:v>
      </x:c>
      <x:c r="Q56" s="19" t="str">
        <x:v>No</x:v>
      </x:c>
      <x:c r="R56" s="19" t="str">
        <x:v>Skip</x:v>
      </x:c>
      <x:c r="S56" s="19" t="str">
        <x:v>No</x:v>
      </x:c>
      <x:c r="T56" s="22" t="str">
        <x:v>Design/mockup sale language; not consumer discussion of American Apparel.</x:v>
      </x:c>
    </x:row>
    <x:row r="57">
      <x:c r="A57" s="9" t="str">
        <x:v>Instagram</x:v>
      </x:c>
      <x:c r="B57" s="10" t="str">
        <x:v>IG hashtag</x:v>
      </x:c>
      <x:c r="C57" s="10" t="str">
        <x:v>3929606451748913267</x:v>
      </x:c>
      <x:c r="D57" s="16" t="n">
        <x:v>46201.703877314816</x:v>
      </x:c>
      <x:c r="E57" s="10" t="str">
        <x:v>culture_prjct</x:v>
      </x:c>
      <x:c r="F57" s="10" t="str">
        <x:v>Sidecar</x:v>
      </x:c>
      <x:c r="G57"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C01 #americanapparel #streetwear #clothing #unitedstates #clothingbrand</x:v>
      </x:c>
      <x:c r="H57" s="19" t="str">
        <x:v>#americanapparel #streetwear #clothing #unitedstates #clothingbrand</x:v>
      </x:c>
      <x:c r="I57" s="19" t="str">
        <x:v>@dontnojess</x:v>
      </x:c>
      <x:c r="J57" s="25" t="n">
        <x:v>3</x:v>
      </x:c>
      <x:c r="K57" s="25" t="n">
        <x:v>4</x:v>
      </x:c>
      <x:c r="L57" s="25" t="n">
        <x:v>0</x:v>
      </x:c>
      <x:c r="M57" s="25" t="n">
        <x:v>0</x:v>
      </x:c>
      <x:c r="N57" s="19" t="str">
        <x:v>https://www.instagram.com/p/DaIxD93k8Bz/</x:v>
      </x:c>
      <x:c r="O57" s="19" t="str"/>
      <x:c r="P57" s="19" t="str">
        <x:v>Design-sale noise</x:v>
      </x:c>
      <x:c r="Q57" s="19" t="str">
        <x:v>No</x:v>
      </x:c>
      <x:c r="R57" s="19" t="str">
        <x:v>Skip</x:v>
      </x:c>
      <x:c r="S57" s="19" t="str">
        <x:v>No</x:v>
      </x:c>
      <x:c r="T57" s="22" t="str">
        <x:v>Design/mockup sale language; not consumer discussion of American Apparel.</x:v>
      </x:c>
    </x:row>
    <x:row r="58">
      <x:c r="A58" s="9" t="str">
        <x:v>TikTok</x:v>
      </x:c>
      <x:c r="B58" s="10" t="str">
        <x:v>TikTok hashtag — validation</x:v>
      </x:c>
      <x:c r="C58" s="10" t="str">
        <x:v>7648405692566523150</x:v>
      </x:c>
      <x:c r="D58" s="16" t="n">
        <x:v>46179.917175925926</x:v>
      </x:c>
      <x:c r="E58" s="10" t="str">
        <x:v>onlyoliviajasmine</x:v>
      </x:c>
      <x:c r="F58" s="10" t="str">
        <x:v>Video</x:v>
      </x:c>
      <x:c r="G58" s="19" t="str">
        <x:v>@Los Angeles Apparel #losangelesapparel #americanapparel #nostalgia #vibes #fyp</x:v>
      </x:c>
      <x:c r="H58" s="19" t="str">
        <x:v>#losangelesapparel #americanapparel #nostalgia #vibes #fyp</x:v>
      </x:c>
      <x:c r="I58" s="19" t="str"/>
      <x:c r="J58" s="25" t="n">
        <x:v>2</x:v>
      </x:c>
      <x:c r="K58" s="25" t="n">
        <x:v>144</x:v>
      </x:c>
      <x:c r="L58" s="25" t="n">
        <x:v>1710</x:v>
      </x:c>
      <x:c r="M58" s="25" t="n">
        <x:v>9</x:v>
      </x:c>
      <x:c r="N58" s="19" t="str">
        <x:v>https://www.tiktok.com/@onlyoliviajasmine/video/7648405692566523150</x:v>
      </x:c>
      <x:c r="O58" s="19" t="str"/>
      <x:c r="P58" s="19" t="str">
        <x:v>Likely relevant</x:v>
      </x:c>
      <x:c r="Q58" s="19" t="str">
        <x:v>Review — nostalgia/awareness adjacent</x:v>
      </x:c>
      <x:c r="R58" s="19" t="str">
        <x:v>Scrape comments</x:v>
      </x:c>
      <x:c r="S58" s="19" t="str">
        <x:v>Yes</x:v>
      </x:c>
      <x:c r="T58" s="22" t="str">
        <x:v>The post explicitly names/tags American Apparel or an identified AA product/style.</x:v>
      </x:c>
    </x:row>
    <x:row r="59">
      <x:c r="A59" s="9" t="str">
        <x:v>Instagram</x:v>
      </x:c>
      <x:c r="B59" s="10" t="str">
        <x:v>IG hashtag</x:v>
      </x:c>
      <x:c r="C59" s="10" t="str">
        <x:v>3918688362723599305</x:v>
      </x:c>
      <x:c r="D59" s="16" t="n">
        <x:v>46186.63978009259</x:v>
      </x:c>
      <x:c r="E59" s="10" t="str">
        <x:v>bezirlane.std</x:v>
      </x:c>
      <x:c r="F59" s="10" t="str">
        <x:v>Sidecar</x:v>
      </x:c>
      <x:c r="G59" s="19" t="str">
        <x:v>DESIGN AVAILABLE FOR SALE Tap in via DM to secure yours 🛒 • Fully customizable text &amp; color options • Premium graphic design ready for any garment • Delivered in high-resolution PNG &amp; PSD files • Trusted by multiple brands &amp; international clients • Open for custom logo, merch &amp; full branding requests Every design is made with quality and originality in mind. Displayed brand is only a sample — your own branding will be added after purchase. Appreciate everyone who continues to support and trust our work. 🖤 #streetwear #clothingbrand #graphicdesign #fashion #americanapparel</x:v>
      </x:c>
      <x:c r="H59" s="19" t="str">
        <x:v>#streetwear #clothingbrand #graphicdesign #fashion #americanapparel</x:v>
      </x:c>
      <x:c r="I59" s="19" t="str"/>
      <x:c r="J59" s="25" t="n">
        <x:v>2</x:v>
      </x:c>
      <x:c r="K59" s="25" t="n">
        <x:v>3</x:v>
      </x:c>
      <x:c r="L59" s="25" t="n">
        <x:v>0</x:v>
      </x:c>
      <x:c r="M59" s="25" t="n">
        <x:v>0</x:v>
      </x:c>
      <x:c r="N59" s="19" t="str">
        <x:v>https://www.instagram.com/p/DZh-k3FmOPJ/</x:v>
      </x:c>
      <x:c r="O59" s="19" t="str"/>
      <x:c r="P59" s="19" t="str">
        <x:v>Design-sale noise</x:v>
      </x:c>
      <x:c r="Q59" s="19" t="str">
        <x:v>No</x:v>
      </x:c>
      <x:c r="R59" s="19" t="str">
        <x:v>Skip</x:v>
      </x:c>
      <x:c r="S59" s="19" t="str">
        <x:v>No</x:v>
      </x:c>
      <x:c r="T59" s="22" t="str">
        <x:v>Design/mockup sale language; not consumer discussion of American Apparel.</x:v>
      </x:c>
    </x:row>
    <x:row r="60">
      <x:c r="A60" s="9" t="str">
        <x:v>Instagram</x:v>
      </x:c>
      <x:c r="B60" s="10" t="str">
        <x:v>IG hashtag</x:v>
      </x:c>
      <x:c r="C60" s="10" t="str">
        <x:v>3919421879476588021</x:v>
      </x:c>
      <x:c r="D60" s="16" t="n">
        <x:v>46187.65184027778</x:v>
      </x:c>
      <x:c r="E60" s="10" t="str">
        <x:v>bezirlane.std</x:v>
      </x:c>
      <x:c r="F60" s="10" t="str">
        <x:v>Sidecar</x:v>
      </x:c>
      <x:c r="G60" s="19" t="str">
        <x:v>DESIGN AVAILABLE FOR SALE Tap in via DM to secure yours 🛒 • Fully customizable text &amp; color options • Premium graphic design ready for any garment • Delivered in high-resolution PNG &amp; PSD files • Trusted by multiple brands &amp; international clients • Open for custom logo, merch &amp; full branding requests Every design is made with quality and originality in mind. Displayed brand is only a sample — your own branding will be added after purchase. Appreciate everyone who continues to support and trust our work. 🖤 #streetwear #clothingbrand #graphicdesign #fashion #americanapparel</x:v>
      </x:c>
      <x:c r="H60" s="19" t="str">
        <x:v>#streetwear #clothingbrand #graphicdesign #fashion #americanapparel</x:v>
      </x:c>
      <x:c r="I60" s="19" t="str"/>
      <x:c r="J60" s="25" t="n">
        <x:v>2</x:v>
      </x:c>
      <x:c r="K60" s="25" t="n">
        <x:v>3</x:v>
      </x:c>
      <x:c r="L60" s="25" t="n">
        <x:v>0</x:v>
      </x:c>
      <x:c r="M60" s="25" t="n">
        <x:v>0</x:v>
      </x:c>
      <x:c r="N60" s="19" t="str">
        <x:v>https://www.instagram.com/p/DZklW7zGI31/</x:v>
      </x:c>
      <x:c r="O60" s="19" t="str"/>
      <x:c r="P60" s="19" t="str">
        <x:v>Design-sale noise</x:v>
      </x:c>
      <x:c r="Q60" s="19" t="str">
        <x:v>No</x:v>
      </x:c>
      <x:c r="R60" s="19" t="str">
        <x:v>Skip</x:v>
      </x:c>
      <x:c r="S60" s="19" t="str">
        <x:v>No</x:v>
      </x:c>
      <x:c r="T60" s="22" t="str">
        <x:v>Design/mockup sale language; not consumer discussion of American Apparel.</x:v>
      </x:c>
    </x:row>
    <x:row r="61">
      <x:c r="A61" s="9" t="str">
        <x:v>Instagram</x:v>
      </x:c>
      <x:c r="B61" s="10" t="str">
        <x:v>IG hashtag</x:v>
      </x:c>
      <x:c r="C61" s="10" t="str">
        <x:v>3920037088192662489</x:v>
      </x:c>
      <x:c r="D61" s="16" t="n">
        <x:v>46188.50017361111</x:v>
      </x:c>
      <x:c r="E61" s="10" t="str">
        <x:v>andysdisaster</x:v>
      </x:c>
      <x:c r="F61" s="10" t="str">
        <x:v>Sidecar</x:v>
      </x:c>
      <x:c r="G61" s="19" t="str">
        <x:v>Streetwear Graphic Design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61" s="19" t="str">
        <x:v>#americanapparel #streetwear #clothing #unitedstates #clothingbrand</x:v>
      </x:c>
      <x:c r="I61" s="19" t="str"/>
      <x:c r="J61" s="25" t="n">
        <x:v>2</x:v>
      </x:c>
      <x:c r="K61" s="25" t="n">
        <x:v>56</x:v>
      </x:c>
      <x:c r="L61" s="25" t="n">
        <x:v>0</x:v>
      </x:c>
      <x:c r="M61" s="25" t="n">
        <x:v>0</x:v>
      </x:c>
      <x:c r="N61" s="19" t="str">
        <x:v>https://www.instagram.com/p/DZmxPZkFIvZ/</x:v>
      </x:c>
      <x:c r="O61" s="19" t="str"/>
      <x:c r="P61" s="19" t="str">
        <x:v>Design-sale noise</x:v>
      </x:c>
      <x:c r="Q61" s="19" t="str">
        <x:v>No</x:v>
      </x:c>
      <x:c r="R61" s="19" t="str">
        <x:v>Skip</x:v>
      </x:c>
      <x:c r="S61" s="19" t="str">
        <x:v>No</x:v>
      </x:c>
      <x:c r="T61" s="22" t="str">
        <x:v>Design/mockup sale language; not consumer discussion of American Apparel.</x:v>
      </x:c>
    </x:row>
    <x:row r="62">
      <x:c r="A62" s="9" t="str">
        <x:v>Instagram</x:v>
      </x:c>
      <x:c r="B62" s="10" t="str">
        <x:v>IG hashtag</x:v>
      </x:c>
      <x:c r="C62" s="10" t="str">
        <x:v>3921164980946326905</x:v>
      </x:c>
      <x:c r="D62" s="16" t="n">
        <x:v>46190.056863425925</x:v>
      </x:c>
      <x:c r="E62" s="10" t="str">
        <x:v>godin.jpg</x:v>
      </x:c>
      <x:c r="F62" s="10" t="str">
        <x:v>Sidecar</x:v>
      </x:c>
      <x:c r="G62"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62" s="19" t="str">
        <x:v>#designforsale #clothingbrand #designs #streetwearbrand #streetwear #streetweardesigner #usastreetwear #americanapparel #urbanfashion #fashiondesigners</x:v>
      </x:c>
      <x:c r="I62" s="19" t="str"/>
      <x:c r="J62" s="25" t="n">
        <x:v>2</x:v>
      </x:c>
      <x:c r="K62" s="25" t="n">
        <x:v>2</x:v>
      </x:c>
      <x:c r="L62" s="25" t="n">
        <x:v>0</x:v>
      </x:c>
      <x:c r="M62" s="25" t="n">
        <x:v>0</x:v>
      </x:c>
      <x:c r="N62" s="19" t="str">
        <x:v>https://www.instagram.com/p/DZqxsZjAdV5/</x:v>
      </x:c>
      <x:c r="O62" s="19" t="str"/>
      <x:c r="P62" s="19" t="str">
        <x:v>Design-sale noise</x:v>
      </x:c>
      <x:c r="Q62" s="19" t="str">
        <x:v>No</x:v>
      </x:c>
      <x:c r="R62" s="19" t="str">
        <x:v>Skip</x:v>
      </x:c>
      <x:c r="S62" s="19" t="str">
        <x:v>No</x:v>
      </x:c>
      <x:c r="T62" s="22" t="str">
        <x:v>Design/mockup sale language; not consumer discussion of American Apparel.</x:v>
      </x:c>
    </x:row>
    <x:row r="63">
      <x:c r="A63" s="9" t="str">
        <x:v>Instagram</x:v>
      </x:c>
      <x:c r="B63" s="10" t="str">
        <x:v>IG hashtag</x:v>
      </x:c>
      <x:c r="C63" s="10" t="str">
        <x:v>3921610829934642425</x:v>
      </x:c>
      <x:c r="D63" s="16" t="n">
        <x:v>46190.67201388889</x:v>
      </x:c>
      <x:c r="E63" s="10" t="str">
        <x:v>andysdisaster</x:v>
      </x:c>
      <x:c r="F63" s="10" t="str">
        <x:v>Sidecar</x:v>
      </x:c>
      <x:c r="G63" s="19" t="str">
        <x:v>Graphic Vintage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63" s="19" t="str">
        <x:v>#americanapparel #streetwear #clothing #unitedstates #clothingbrand</x:v>
      </x:c>
      <x:c r="I63" s="19" t="str"/>
      <x:c r="J63" s="25" t="n">
        <x:v>2</x:v>
      </x:c>
      <x:c r="K63" s="25" t="n">
        <x:v>46</x:v>
      </x:c>
      <x:c r="L63" s="25" t="n">
        <x:v>0</x:v>
      </x:c>
      <x:c r="M63" s="25" t="n">
        <x:v>0</x:v>
      </x:c>
      <x:c r="N63" s="19" t="str">
        <x:v>https://www.instagram.com/p/DZsXEWxlET5/</x:v>
      </x:c>
      <x:c r="O63" s="19" t="str"/>
      <x:c r="P63" s="19" t="str">
        <x:v>Design-sale noise</x:v>
      </x:c>
      <x:c r="Q63" s="19" t="str">
        <x:v>No</x:v>
      </x:c>
      <x:c r="R63" s="19" t="str">
        <x:v>Skip</x:v>
      </x:c>
      <x:c r="S63" s="19" t="str">
        <x:v>No</x:v>
      </x:c>
      <x:c r="T63" s="22" t="str">
        <x:v>Design/mockup sale language; not consumer discussion of American Apparel.</x:v>
      </x:c>
    </x:row>
    <x:row r="64">
      <x:c r="A64" s="9" t="str">
        <x:v>Instagram</x:v>
      </x:c>
      <x:c r="B64" s="10" t="str">
        <x:v>IG hashtag</x:v>
      </x:c>
      <x:c r="C64" s="10" t="str">
        <x:v>3922422499866343570</x:v>
      </x:c>
      <x:c r="D64" s="16" t="n">
        <x:v>46191.79690972222</x:v>
      </x:c>
      <x:c r="E64" s="10" t="str">
        <x:v>barbiepinkcatlady</x:v>
      </x:c>
      <x:c r="F64" s="10" t="str">
        <x:v>Image</x:v>
      </x:c>
      <x:c r="G64" s="19" t="str">
        <x:v>A blush pink throwback 💞 American Apparel was an iconic brand in the 2010s. I still have their lace dress and matching undergarments. The Betsey Johnson heels and clutch, too 💕 #Throwback #AmericanApparel #2010s #BaddestCatLady #Pink</x:v>
      </x:c>
      <x:c r="H64" s="19" t="str">
        <x:v>#Throwback #AmericanApparel #2010s #BaddestCatLady #Pink</x:v>
      </x:c>
      <x:c r="I64" s="19" t="str"/>
      <x:c r="J64" s="25" t="n">
        <x:v>2</x:v>
      </x:c>
      <x:c r="K64" s="25" t="n">
        <x:v>11</x:v>
      </x:c>
      <x:c r="L64" s="25" t="n">
        <x:v>0</x:v>
      </x:c>
      <x:c r="M64" s="25" t="n">
        <x:v>0</x:v>
      </x:c>
      <x:c r="N64" s="19" t="str">
        <x:v>https://www.instagram.com/p/DZvPntTiHiS/</x:v>
      </x:c>
      <x:c r="O64" s="19" t="str"/>
      <x:c r="P64" s="19" t="str">
        <x:v>Likely relevant</x:v>
      </x:c>
      <x:c r="Q64" s="19" t="str">
        <x:v>Review — nostalgia/awareness adjacent</x:v>
      </x:c>
      <x:c r="R64" s="19" t="str">
        <x:v>Scrape comments</x:v>
      </x:c>
      <x:c r="S64" s="19" t="str">
        <x:v>Yes</x:v>
      </x:c>
      <x:c r="T64" s="22" t="str">
        <x:v>The post explicitly names/tags American Apparel or an identified AA product/style.</x:v>
      </x:c>
    </x:row>
    <x:row r="65">
      <x:c r="A65" s="9" t="str">
        <x:v>Instagram</x:v>
      </x:c>
      <x:c r="B65" s="10" t="str">
        <x:v>IG hashtag</x:v>
      </x:c>
      <x:c r="C65" s="10" t="str">
        <x:v>3923806619725739427</x:v>
      </x:c>
      <x:c r="D65" s="16" t="n">
        <x:v>46193.701631944445</x:v>
      </x:c>
      <x:c r="E65" s="10" t="str">
        <x:v>andysdisaster</x:v>
      </x:c>
      <x:c r="F65" s="10" t="str">
        <x:v>Sidecar</x:v>
      </x:c>
      <x:c r="G65" s="19" t="str">
        <x:v>Premade Design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65" s="19" t="str">
        <x:v>#americanapparel #streetwear #clothing #unitedstates #clothingbrand</x:v>
      </x:c>
      <x:c r="I65" s="19" t="str"/>
      <x:c r="J65" s="25" t="n">
        <x:v>2</x:v>
      </x:c>
      <x:c r="K65" s="25" t="n">
        <x:v>15</x:v>
      </x:c>
      <x:c r="L65" s="25" t="n">
        <x:v>0</x:v>
      </x:c>
      <x:c r="M65" s="25" t="n">
        <x:v>0</x:v>
      </x:c>
      <x:c r="N65" s="19" t="str">
        <x:v>https://www.instagram.com/p/DZ0KVTYFDWj/</x:v>
      </x:c>
      <x:c r="O65" s="19" t="str"/>
      <x:c r="P65" s="19" t="str">
        <x:v>Design-sale noise</x:v>
      </x:c>
      <x:c r="Q65" s="19" t="str">
        <x:v>No</x:v>
      </x:c>
      <x:c r="R65" s="19" t="str">
        <x:v>Skip</x:v>
      </x:c>
      <x:c r="S65" s="19" t="str">
        <x:v>No</x:v>
      </x:c>
      <x:c r="T65" s="22" t="str">
        <x:v>Design/mockup sale language; not consumer discussion of American Apparel.</x:v>
      </x:c>
    </x:row>
    <x:row r="66">
      <x:c r="A66" s="9" t="str">
        <x:v>Instagram</x:v>
      </x:c>
      <x:c r="B66" s="10" t="str">
        <x:v>IG hashtag</x:v>
      </x:c>
      <x:c r="C66" s="10" t="str">
        <x:v>3924523116429358110</x:v>
      </x:c>
      <x:c r="D66" s="16" t="n">
        <x:v>46194.69020833333</x:v>
      </x:c>
      <x:c r="E66" s="10" t="str">
        <x:v>andysdisaster</x:v>
      </x:c>
      <x:c r="F66" s="10" t="str">
        <x:v>Sidecar</x:v>
      </x:c>
      <x:c r="G66" s="19" t="str">
        <x:v>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66" s="19" t="str">
        <x:v>#americanapparel #streetwear #clothing #unitedstates #clothingbrand</x:v>
      </x:c>
      <x:c r="I66" s="19" t="str"/>
      <x:c r="J66" s="25" t="n">
        <x:v>2</x:v>
      </x:c>
      <x:c r="K66" s="25" t="n">
        <x:v>34</x:v>
      </x:c>
      <x:c r="L66" s="25" t="n">
        <x:v>0</x:v>
      </x:c>
      <x:c r="M66" s="25" t="n">
        <x:v>0</x:v>
      </x:c>
      <x:c r="N66" s="19" t="str">
        <x:v>https://www.instagram.com/p/DZ2tPs7lLQe/</x:v>
      </x:c>
      <x:c r="O66" s="19" t="str"/>
      <x:c r="P66" s="19" t="str">
        <x:v>Design-sale noise</x:v>
      </x:c>
      <x:c r="Q66" s="19" t="str">
        <x:v>No</x:v>
      </x:c>
      <x:c r="R66" s="19" t="str">
        <x:v>Skip</x:v>
      </x:c>
      <x:c r="S66" s="19" t="str">
        <x:v>No</x:v>
      </x:c>
      <x:c r="T66" s="22" t="str">
        <x:v>Design/mockup sale language; not consumer discussion of American Apparel.</x:v>
      </x:c>
    </x:row>
    <x:row r="67">
      <x:c r="A67" s="9" t="str">
        <x:v>TikTok</x:v>
      </x:c>
      <x:c r="B67" s="10" t="str">
        <x:v>TikTok hashtag — validation</x:v>
      </x:c>
      <x:c r="C67" s="10" t="str">
        <x:v>7653908014126222622</x:v>
      </x:c>
      <x:c r="D67" s="16" t="n">
        <x:v>46194.744791666664</x:v>
      </x:c>
      <x:c r="E67" s="10" t="str">
        <x:v>brandydonuttop</x:v>
      </x:c>
      <x:c r="F67" s="10" t="str">
        <x:v>Video</x:v>
      </x:c>
      <x:c r="G67" s="19" t="str">
        <x:v>Soo cute!! #skaterdress #americanapparel #2014 #tumblraesthetic #fyp</x:v>
      </x:c>
      <x:c r="H67" s="19" t="str">
        <x:v>#skaterdress #americanapparel #2014 #tumblraesthetic #fyp</x:v>
      </x:c>
      <x:c r="I67" s="19" t="str"/>
      <x:c r="J67" s="25" t="n">
        <x:v>2</x:v>
      </x:c>
      <x:c r="K67" s="25" t="n">
        <x:v>36</x:v>
      </x:c>
      <x:c r="L67" s="25" t="n">
        <x:v>952</x:v>
      </x:c>
      <x:c r="M67" s="25" t="n">
        <x:v>0</x:v>
      </x:c>
      <x:c r="N67" s="19" t="str">
        <x:v>https://www.tiktok.com/@brandydonuttop/video/7653908014126222622</x:v>
      </x:c>
      <x:c r="O67" s="19" t="str"/>
      <x:c r="P67" s="19" t="str">
        <x:v>Likely relevant</x:v>
      </x:c>
      <x:c r="Q67" s="19" t="str">
        <x:v>No</x:v>
      </x:c>
      <x:c r="R67" s="19" t="str">
        <x:v>Scrape comments</x:v>
      </x:c>
      <x:c r="S67" s="19" t="str">
        <x:v>No</x:v>
      </x:c>
      <x:c r="T67" s="22" t="str">
        <x:v>The post explicitly names/tags American Apparel or an identified AA product/style.</x:v>
      </x:c>
    </x:row>
    <x:row r="68">
      <x:c r="A68" s="9" t="str">
        <x:v>Instagram</x:v>
      </x:c>
      <x:c r="B68" s="10" t="str">
        <x:v>IG hashtag</x:v>
      </x:c>
      <x:c r="C68" s="10" t="str">
        <x:v>3925122294977465413</x:v>
      </x:c>
      <x:c r="D68" s="16" t="n">
        <x:v>46195.516909722224</x:v>
      </x:c>
      <x:c r="E68" s="10" t="str">
        <x:v>avart.std</x:v>
      </x:c>
      <x:c r="F68" s="10" t="str">
        <x:v>Sidecar</x:v>
      </x:c>
      <x:c r="G68" s="19" t="str">
        <x:v>DESIGN FOR SALE!! ( CONCEPT @internetruinsthings.la ) CODE : 113 TSHIRT SOLD✅ INCLUDED FILES : • PSD (SOURCE FILE), PNG (PREVIEW MOCKUP) AND MOCKUP FOR FREE. • TEXT &amp; COLORS CAN BE CHANGED. DM FOR PRICE &amp; INFORMATION ❕ #designforsale #americanapparel #usacollections #brandowner #streetwearbrand</x:v>
      </x:c>
      <x:c r="H68" s="19" t="str">
        <x:v>#designforsale #americanapparel #usacollections #brandowner #streetwearbrand</x:v>
      </x:c>
      <x:c r="I68" s="19" t="str">
        <x:v>@internetruinsthings.la @pappiiq @ishowspeed @thegvgallery</x:v>
      </x:c>
      <x:c r="J68" s="25" t="n">
        <x:v>2</x:v>
      </x:c>
      <x:c r="K68" s="25" t="n">
        <x:v>19</x:v>
      </x:c>
      <x:c r="L68" s="25" t="n">
        <x:v>0</x:v>
      </x:c>
      <x:c r="M68" s="25" t="n">
        <x:v>0</x:v>
      </x:c>
      <x:c r="N68" s="19" t="str">
        <x:v>https://www.instagram.com/p/DZ41e5cGQxF/</x:v>
      </x:c>
      <x:c r="O68" s="19" t="str"/>
      <x:c r="P68" s="19" t="str">
        <x:v>Design-sale noise</x:v>
      </x:c>
      <x:c r="Q68" s="19" t="str">
        <x:v>No</x:v>
      </x:c>
      <x:c r="R68" s="19" t="str">
        <x:v>Skip</x:v>
      </x:c>
      <x:c r="S68" s="19" t="str">
        <x:v>No</x:v>
      </x:c>
      <x:c r="T68" s="22" t="str">
        <x:v>Design/mockup sale language; not consumer discussion of American Apparel.</x:v>
      </x:c>
    </x:row>
    <x:row r="69">
      <x:c r="A69" s="9" t="str">
        <x:v>Instagram</x:v>
      </x:c>
      <x:c r="B69" s="10" t="str">
        <x:v>IG hashtag</x:v>
      </x:c>
      <x:c r="C69" s="10" t="str">
        <x:v>3925122587143990406</x:v>
      </x:c>
      <x:c r="D69" s="16" t="n">
        <x:v>46195.51731481482</x:v>
      </x:c>
      <x:c r="E69" s="10" t="str">
        <x:v>voidworks.usa</x:v>
      </x:c>
      <x:c r="F69" s="10" t="str">
        <x:v>Sidecar</x:v>
      </x:c>
      <x:c r="G69"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V019 #americanapparel #streetwear #clothing #unitedstates #clothingbrand</x:v>
      </x:c>
      <x:c r="H69" s="19" t="str">
        <x:v>#americanapparel #streetwear #clothing #unitedstates #clothingbrand</x:v>
      </x:c>
      <x:c r="I69" s="19" t="str"/>
      <x:c r="J69" s="25" t="n">
        <x:v>2</x:v>
      </x:c>
      <x:c r="K69" s="25" t="n">
        <x:v>4</x:v>
      </x:c>
      <x:c r="L69" s="25" t="n">
        <x:v>0</x:v>
      </x:c>
      <x:c r="M69" s="25" t="n">
        <x:v>0</x:v>
      </x:c>
      <x:c r="N69" s="19" t="str">
        <x:v>https://www.instagram.com/p/DZ41jJilGyG/</x:v>
      </x:c>
      <x:c r="O69" s="19" t="str"/>
      <x:c r="P69" s="19" t="str">
        <x:v>Design-sale noise</x:v>
      </x:c>
      <x:c r="Q69" s="19" t="str">
        <x:v>No</x:v>
      </x:c>
      <x:c r="R69" s="19" t="str">
        <x:v>Skip</x:v>
      </x:c>
      <x:c r="S69" s="19" t="str">
        <x:v>No</x:v>
      </x:c>
      <x:c r="T69" s="22" t="str">
        <x:v>Design/mockup sale language; not consumer discussion of American Apparel.</x:v>
      </x:c>
    </x:row>
    <x:row r="70">
      <x:c r="A70" s="9" t="str">
        <x:v>Instagram</x:v>
      </x:c>
      <x:c r="B70" s="10" t="str">
        <x:v>IG hashtag</x:v>
      </x:c>
      <x:c r="C70" s="10" t="str">
        <x:v>3925182311843504922</x:v>
      </x:c>
      <x:c r="D70" s="16" t="n">
        <x:v>46195.59972222222</x:v>
      </x:c>
      <x:c r="E70" s="10" t="str">
        <x:v>dads.graphic</x:v>
      </x:c>
      <x:c r="F70" s="10" t="str">
        <x:v>Sidecar</x:v>
      </x:c>
      <x:c r="G70" s="19" t="str">
        <x:v>DESIGN AVAILABLE 👀🚀 Been working on something with a clean racing and streetwear vibe. Simple color blocking, bold graphics, and an easy everyday fit. I could see this one turning into a solid brand staple. DM if you want to make it yours. 📩 #americanapparel #clothingbrand #streetweardesigner #designforsale #tracksuit</x:v>
      </x:c>
      <x:c r="H70" s="19" t="str">
        <x:v>#americanapparel #clothingbrand #streetweardesigner #designforsale #tracksuit</x:v>
      </x:c>
      <x:c r="I70" s="19" t="str"/>
      <x:c r="J70" s="25" t="n">
        <x:v>2</x:v>
      </x:c>
      <x:c r="K70" s="25" t="n">
        <x:v>47</x:v>
      </x:c>
      <x:c r="L70" s="25" t="n">
        <x:v>0</x:v>
      </x:c>
      <x:c r="M70" s="25" t="n">
        <x:v>0</x:v>
      </x:c>
      <x:c r="N70" s="19" t="str">
        <x:v>https://www.instagram.com/p/DZ5DIQgFCMa/</x:v>
      </x:c>
      <x:c r="O70" s="19" t="str"/>
      <x:c r="P70" s="19" t="str">
        <x:v>Design-sale noise</x:v>
      </x:c>
      <x:c r="Q70" s="19" t="str">
        <x:v>No</x:v>
      </x:c>
      <x:c r="R70" s="19" t="str">
        <x:v>Skip</x:v>
      </x:c>
      <x:c r="S70" s="19" t="str">
        <x:v>No</x:v>
      </x:c>
      <x:c r="T70" s="22" t="str">
        <x:v>Design/mockup sale language; not consumer discussion of American Apparel.</x:v>
      </x:c>
    </x:row>
    <x:row r="71">
      <x:c r="A71" s="9" t="str">
        <x:v>Instagram</x:v>
      </x:c>
      <x:c r="B71" s="10" t="str">
        <x:v>IG hashtag</x:v>
      </x:c>
      <x:c r="C71" s="10" t="str">
        <x:v>3926616409493474544</x:v>
      </x:c>
      <x:c r="D71" s="16" t="n">
        <x:v>46197.57840277778</x:v>
      </x:c>
      <x:c r="E71" s="10" t="str">
        <x:v>voidworks.usa</x:v>
      </x:c>
      <x:c r="F71" s="10" t="str">
        <x:v>Sidecar</x:v>
      </x:c>
      <x:c r="G71" s="19" t="str">
        <x:v>sold, thank you!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V022 #americanapparel #streetwear #clothing #unitedstates #clothingbrand</x:v>
      </x:c>
      <x:c r="H71" s="19" t="str">
        <x:v>#americanapparel #streetwear #clothing #unitedstates #clothingbrand</x:v>
      </x:c>
      <x:c r="I71" s="19" t="str"/>
      <x:c r="J71" s="25" t="n">
        <x:v>2</x:v>
      </x:c>
      <x:c r="K71" s="25" t="n">
        <x:v>2</x:v>
      </x:c>
      <x:c r="L71" s="25" t="n">
        <x:v>0</x:v>
      </x:c>
      <x:c r="M71" s="25" t="n">
        <x:v>0</x:v>
      </x:c>
      <x:c r="N71" s="19" t="str">
        <x:v>https://www.instagram.com/p/DZ-JNIBFAzw/</x:v>
      </x:c>
      <x:c r="O71" s="19" t="str"/>
      <x:c r="P71" s="19" t="str">
        <x:v>Design-sale noise</x:v>
      </x:c>
      <x:c r="Q71" s="19" t="str">
        <x:v>No</x:v>
      </x:c>
      <x:c r="R71" s="19" t="str">
        <x:v>Skip</x:v>
      </x:c>
      <x:c r="S71" s="19" t="str">
        <x:v>No</x:v>
      </x:c>
      <x:c r="T71" s="22" t="str">
        <x:v>Design/mockup sale language; not consumer discussion of American Apparel.</x:v>
      </x:c>
    </x:row>
    <x:row r="72">
      <x:c r="A72" s="9" t="str">
        <x:v>Instagram</x:v>
      </x:c>
      <x:c r="B72" s="10" t="str">
        <x:v>IG hashtag</x:v>
      </x:c>
      <x:c r="C72" s="10" t="str">
        <x:v>3928141308330535750</x:v>
      </x:c>
      <x:c r="D72" s="16" t="n">
        <x:v>46199.68236111111</x:v>
      </x:c>
      <x:c r="E72" s="10" t="str">
        <x:v>andysdisaster</x:v>
      </x:c>
      <x:c r="F72" s="10" t="str">
        <x:v>Sidecar</x:v>
      </x:c>
      <x:c r="G72" s="19" t="str">
        <x:v>GTA Graphic Concept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72" s="19" t="str">
        <x:v>#americanapparel #streetwear #clothing #unitedstates #clothingbrand</x:v>
      </x:c>
      <x:c r="I72" s="19" t="str"/>
      <x:c r="J72" s="25" t="n">
        <x:v>2</x:v>
      </x:c>
      <x:c r="K72" s="25" t="n">
        <x:v>30</x:v>
      </x:c>
      <x:c r="L72" s="25" t="n">
        <x:v>0</x:v>
      </x:c>
      <x:c r="M72" s="25" t="n">
        <x:v>0</x:v>
      </x:c>
      <x:c r="N72" s="19" t="str">
        <x:v>https://www.instagram.com/p/DaDj7UulGtG/</x:v>
      </x:c>
      <x:c r="O72" s="19" t="str"/>
      <x:c r="P72" s="19" t="str">
        <x:v>Design-sale noise</x:v>
      </x:c>
      <x:c r="Q72" s="19" t="str">
        <x:v>No</x:v>
      </x:c>
      <x:c r="R72" s="19" t="str">
        <x:v>Skip</x:v>
      </x:c>
      <x:c r="S72" s="19" t="str">
        <x:v>No</x:v>
      </x:c>
      <x:c r="T72" s="22" t="str">
        <x:v>Design/mockup sale language; not consumer discussion of American Apparel.</x:v>
      </x:c>
    </x:row>
    <x:row r="73">
      <x:c r="A73" s="9" t="str">
        <x:v>Instagram</x:v>
      </x:c>
      <x:c r="B73" s="10" t="str">
        <x:v>IG hashtag</x:v>
      </x:c>
      <x:c r="C73" s="10" t="str">
        <x:v>3930204172297939990</x:v>
      </x:c>
      <x:c r="D73" s="16" t="n">
        <x:v>46202.52856481481</x:v>
      </x:c>
      <x:c r="E73" s="10" t="str">
        <x:v>culture_prjct</x:v>
      </x:c>
      <x:c r="F73" s="10" t="str">
        <x:v>Sidecar</x:v>
      </x:c>
      <x:c r="G73"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C02 #americanapparel #streetwear #clothing #unitedstates #clothingbrand</x:v>
      </x:c>
      <x:c r="H73" s="19" t="str">
        <x:v>#americanapparel #streetwear #clothing #unitedstates #clothingbrand</x:v>
      </x:c>
      <x:c r="I73" s="19" t="str"/>
      <x:c r="J73" s="25" t="n">
        <x:v>2</x:v>
      </x:c>
      <x:c r="K73" s="25" t="n">
        <x:v>4</x:v>
      </x:c>
      <x:c r="L73" s="25" t="n">
        <x:v>0</x:v>
      </x:c>
      <x:c r="M73" s="25" t="n">
        <x:v>0</x:v>
      </x:c>
      <x:c r="N73" s="19" t="str">
        <x:v>https://www.instagram.com/p/DaK498gk6wW/</x:v>
      </x:c>
      <x:c r="O73" s="19" t="str"/>
      <x:c r="P73" s="19" t="str">
        <x:v>Design-sale noise</x:v>
      </x:c>
      <x:c r="Q73" s="19" t="str">
        <x:v>No</x:v>
      </x:c>
      <x:c r="R73" s="19" t="str">
        <x:v>Skip</x:v>
      </x:c>
      <x:c r="S73" s="19" t="str">
        <x:v>No</x:v>
      </x:c>
      <x:c r="T73" s="22" t="str">
        <x:v>Design/mockup sale language; not consumer discussion of American Apparel.</x:v>
      </x:c>
    </x:row>
    <x:row r="74">
      <x:c r="A74" s="9" t="str">
        <x:v>Instagram</x:v>
      </x:c>
      <x:c r="B74" s="10" t="str">
        <x:v>IG hashtag</x:v>
      </x:c>
      <x:c r="C74" s="10" t="str">
        <x:v>3930277894816449069</x:v>
      </x:c>
      <x:c r="D74" s="16" t="n">
        <x:v>46202.63028935185</x:v>
      </x:c>
      <x:c r="E74" s="10" t="str">
        <x:v>thisvintagetee.id</x:v>
      </x:c>
      <x:c r="F74" s="10" t="str">
        <x:v>Sidecar</x:v>
      </x:c>
      <x:c r="G74" s="19" t="str">
        <x:v>❌❌ SOLDOUT ❌❌ "Did you know Avril Lavigne’s 'Black Star' tour was originally named after a 30-second perfume jingle?" "True story! She wrote 'Black Star' just for her fragrance commercial before fans demanded a full song, leading to this iconic 2011 world tour. This official merch features an amazing green star graphic on the front and the rare Asian leg tour dates on the back. Crisp print, faded beautifully on a classic American Apparel tag. Drop a DM for size details and worldwide shipping! 🌍✈️"</x:v>
      </x:c>
      <x:c r="H74" s="19" t="str"/>
      <x:c r="I74" s="19" t="str"/>
      <x:c r="J74" s="25" t="n">
        <x:v>2</x:v>
      </x:c>
      <x:c r="K74" s="25" t="n">
        <x:v>20</x:v>
      </x:c>
      <x:c r="L74" s="25" t="n">
        <x:v>0</x:v>
      </x:c>
      <x:c r="M74" s="25" t="n">
        <x:v>0</x:v>
      </x:c>
      <x:c r="N74" s="19" t="str">
        <x:v>https://www.instagram.com/p/DaLJuv9GsIt/</x:v>
      </x:c>
      <x:c r="O74" s="19" t="str"/>
      <x:c r="P74" s="19" t="str">
        <x:v>Likely relevant</x:v>
      </x:c>
      <x:c r="Q74" s="19" t="str">
        <x:v>No</x:v>
      </x:c>
      <x:c r="R74" s="19" t="str">
        <x:v>Scrape comments</x:v>
      </x:c>
      <x:c r="S74" s="19" t="str">
        <x:v>No</x:v>
      </x:c>
      <x:c r="T74" s="22" t="str">
        <x:v>The post explicitly names/tags American Apparel or an identified AA product/style.</x:v>
      </x:c>
    </x:row>
    <x:row r="75">
      <x:c r="A75" s="9" t="str">
        <x:v>Instagram</x:v>
      </x:c>
      <x:c r="B75" s="10" t="str">
        <x:v>IG hashtag</x:v>
      </x:c>
      <x:c r="C75" s="10" t="str">
        <x:v>3930351406914256439</x:v>
      </x:c>
      <x:c r="D75" s="16" t="n">
        <x:v>46202.73171296297</x:v>
      </x:c>
      <x:c r="E75" s="10" t="str">
        <x:v>andysdisaster</x:v>
      </x:c>
      <x:c r="F75" s="10" t="str">
        <x:v>Sidecar</x:v>
      </x:c>
      <x:c r="G75" s="19" t="str">
        <x:v>Bundle Pack 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75" s="19" t="str">
        <x:v>#americanapparel #streetwear #clothing #unitedstates #clothingbrand</x:v>
      </x:c>
      <x:c r="I75" s="19" t="str"/>
      <x:c r="J75" s="25" t="n">
        <x:v>2</x:v>
      </x:c>
      <x:c r="K75" s="25" t="n">
        <x:v>30</x:v>
      </x:c>
      <x:c r="L75" s="25" t="n">
        <x:v>0</x:v>
      </x:c>
      <x:c r="M75" s="25" t="n">
        <x:v>0</x:v>
      </x:c>
      <x:c r="N75" s="19" t="str">
        <x:v>https://www.instagram.com/p/DaLacfblL43/</x:v>
      </x:c>
      <x:c r="O75" s="19" t="str"/>
      <x:c r="P75" s="19" t="str">
        <x:v>Design-sale noise</x:v>
      </x:c>
      <x:c r="Q75" s="19" t="str">
        <x:v>No</x:v>
      </x:c>
      <x:c r="R75" s="19" t="str">
        <x:v>Skip</x:v>
      </x:c>
      <x:c r="S75" s="19" t="str">
        <x:v>No</x:v>
      </x:c>
      <x:c r="T75" s="22" t="str">
        <x:v>Design/mockup sale language; not consumer discussion of American Apparel.</x:v>
      </x:c>
    </x:row>
    <x:row r="76">
      <x:c r="A76" s="9" t="str">
        <x:v>Instagram</x:v>
      </x:c>
      <x:c r="B76" s="10" t="str">
        <x:v>IG hashtag</x:v>
      </x:c>
      <x:c r="C76" s="10" t="str">
        <x:v>3931023303603715302</x:v>
      </x:c>
      <x:c r="D76" s="16" t="n">
        <x:v>46203.65875</x:v>
      </x:c>
      <x:c r="E76" s="10" t="str">
        <x:v>andysdisaster</x:v>
      </x:c>
      <x:c r="F76" s="10" t="str">
        <x:v>Sidecar</x:v>
      </x:c>
      <x:c r="G76" s="19" t="str">
        <x:v>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76" s="19" t="str">
        <x:v>#americanapparel #streetwear #clothing #unitedstates #clothingbrand</x:v>
      </x:c>
      <x:c r="I76" s="19" t="str"/>
      <x:c r="J76" s="25" t="n">
        <x:v>2</x:v>
      </x:c>
      <x:c r="K76" s="25" t="n">
        <x:v>22</x:v>
      </x:c>
      <x:c r="L76" s="25" t="n">
        <x:v>0</x:v>
      </x:c>
      <x:c r="M76" s="25" t="n">
        <x:v>0</x:v>
      </x:c>
      <x:c r="N76" s="19" t="str">
        <x:v>https://www.instagram.com/p/DaNzN3_FPzm/</x:v>
      </x:c>
      <x:c r="O76" s="19" t="str"/>
      <x:c r="P76" s="19" t="str">
        <x:v>Design-sale noise</x:v>
      </x:c>
      <x:c r="Q76" s="19" t="str">
        <x:v>No</x:v>
      </x:c>
      <x:c r="R76" s="19" t="str">
        <x:v>Skip</x:v>
      </x:c>
      <x:c r="S76" s="19" t="str">
        <x:v>No</x:v>
      </x:c>
      <x:c r="T76" s="22" t="str">
        <x:v>Design/mockup sale language; not consumer discussion of American Apparel.</x:v>
      </x:c>
    </x:row>
    <x:row r="77">
      <x:c r="A77" s="9" t="str">
        <x:v>Instagram</x:v>
      </x:c>
      <x:c r="B77" s="10" t="str">
        <x:v>IG hashtag</x:v>
      </x:c>
      <x:c r="C77" s="10" t="str">
        <x:v>3931031639766030408</x:v>
      </x:c>
      <x:c r="D77" s="16" t="n">
        <x:v>46203.67025462963</x:v>
      </x:c>
      <x:c r="E77" s="10" t="str">
        <x:v>culture_prjct</x:v>
      </x:c>
      <x:c r="F77" s="10" t="str">
        <x:v>Sidecar</x:v>
      </x:c>
      <x:c r="G77"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C03 #americanapparel #streetwear #clothing #unitedstates #clothingbrand</x:v>
      </x:c>
      <x:c r="H77" s="19" t="str">
        <x:v>#americanapparel #streetwear #clothing #unitedstates #clothingbrand</x:v>
      </x:c>
      <x:c r="I77" s="19" t="str"/>
      <x:c r="J77" s="25" t="n">
        <x:v>2</x:v>
      </x:c>
      <x:c r="K77" s="25" t="n">
        <x:v>6</x:v>
      </x:c>
      <x:c r="L77" s="25" t="n">
        <x:v>0</x:v>
      </x:c>
      <x:c r="M77" s="25" t="n">
        <x:v>0</x:v>
      </x:c>
      <x:c r="N77" s="19" t="str">
        <x:v>https://www.instagram.com/p/DaN1HLpE1hI/</x:v>
      </x:c>
      <x:c r="O77" s="19" t="str"/>
      <x:c r="P77" s="19" t="str">
        <x:v>Design-sale noise</x:v>
      </x:c>
      <x:c r="Q77" s="19" t="str">
        <x:v>No</x:v>
      </x:c>
      <x:c r="R77" s="19" t="str">
        <x:v>Skip</x:v>
      </x:c>
      <x:c r="S77" s="19" t="str">
        <x:v>No</x:v>
      </x:c>
      <x:c r="T77" s="22" t="str">
        <x:v>Design/mockup sale language; not consumer discussion of American Apparel.</x:v>
      </x:c>
    </x:row>
    <x:row r="78">
      <x:c r="A78" s="9" t="str">
        <x:v>TikTok</x:v>
      </x:c>
      <x:c r="B78" s="10" t="str">
        <x:v>TikTok hashtag — validation</x:v>
      </x:c>
      <x:c r="C78" s="10" t="str">
        <x:v>7648361797971430686</x:v>
      </x:c>
      <x:c r="D78" s="16" t="n">
        <x:v>46179.798796296294</x:v>
      </x:c>
      <x:c r="E78" s="10" t="str">
        <x:v>png.7002</x:v>
      </x:c>
      <x:c r="F78" s="10" t="str">
        <x:v>Video</x:v>
      </x:c>
      <x:c r="G78" s="19" t="str">
        <x:v>#americanapparel #moodboard #fyp #foryoupage #americanapparelusa</x:v>
      </x:c>
      <x:c r="H78" s="19" t="str">
        <x:v>#americanapparel #moodboard #fyp #foryoupage #americanapparelusa</x:v>
      </x:c>
      <x:c r="I78" s="19" t="str"/>
      <x:c r="J78" s="25" t="n">
        <x:v>1</x:v>
      </x:c>
      <x:c r="K78" s="25" t="n">
        <x:v>2578</x:v>
      </x:c>
      <x:c r="L78" s="25" t="n">
        <x:v>16372</x:v>
      </x:c>
      <x:c r="M78" s="25" t="n">
        <x:v>126</x:v>
      </x:c>
      <x:c r="N78" s="19" t="str">
        <x:v>https://www.tiktok.com/@png.7002/video/7648361797971430686</x:v>
      </x:c>
      <x:c r="O78" s="19" t="str"/>
      <x:c r="P78" s="19" t="str">
        <x:v>Likely relevant</x:v>
      </x:c>
      <x:c r="Q78" s="19" t="str">
        <x:v>No</x:v>
      </x:c>
      <x:c r="R78" s="19" t="str">
        <x:v>Scrape comments</x:v>
      </x:c>
      <x:c r="S78" s="19" t="str">
        <x:v>No</x:v>
      </x:c>
      <x:c r="T78" s="22" t="str">
        <x:v>The post explicitly names/tags American Apparel or an identified AA product/style.</x:v>
      </x:c>
    </x:row>
    <x:row r="79">
      <x:c r="A79" s="9" t="str">
        <x:v>Instagram</x:v>
      </x:c>
      <x:c r="B79" s="10" t="str">
        <x:v>IG mention</x:v>
      </x:c>
      <x:c r="C79" s="10" t="str">
        <x:v>3917716751127952426</x:v>
      </x:c>
      <x:c r="D79" s="16" t="n">
        <x:v>46185.299212962964</x:v>
      </x:c>
      <x:c r="E79" s="10" t="str">
        <x:v>center_village02</x:v>
      </x:c>
      <x:c r="F79" s="10" t="str">
        <x:v>Sidecar</x:v>
      </x:c>
      <x:c r="G79" s="19" t="str">
        <x:v>展示のお知らせ📢 6/16〜6/27 @crossoverkagurazaka にて TシャツPOPUPに参加します🔥 35名のアーティストによるTeeが カフェギャラリーに並びます👾👾👾 今回は5点出展します。すべて手描きです。 一点ずつ違う表情になってるので ぜひ見てもらえたら嬉しいです！ 在廊は 基本 木曜日、土曜日は出勤してます！ お時間合えばぜひお立ち寄りください😽 ⁡ .──────────── ⁡ Exhibition Announcement 📢 6/16 – 6/27 T-shirt POP-UP at @crossoverkagurazaka. 35 artists’ tees in a café gallery. I’ll show 5 hand-drawn pieces—each one unique. I’ll be there on Thursdays &amp; Saturdays. Feel free to stop by. ⁡ #tシャツ #tee #tshirt</x:v>
      </x:c>
      <x:c r="H79" s="19" t="str">
        <x:v>#tシャツ #tee #tshirt</x:v>
      </x:c>
      <x:c r="I79" s="19" t="str">
        <x:v>@crossoverkagurazaka @americanapparel @center_village02</x:v>
      </x:c>
      <x:c r="J79" s="25" t="n">
        <x:v>1</x:v>
      </x:c>
      <x:c r="K79" s="25" t="n">
        <x:v>-1</x:v>
      </x:c>
      <x:c r="L79" s="25" t="n">
        <x:v>0</x:v>
      </x:c>
      <x:c r="M79" s="25" t="n">
        <x:v>0</x:v>
      </x:c>
      <x:c r="N79" s="19" t="str">
        <x:v>https://www.instagram.com/p/DZehqDRlDwq/</x:v>
      </x:c>
      <x:c r="O79" s="19" t="str"/>
      <x:c r="P79" s="19" t="str">
        <x:v>Ambiguous / incidental</x:v>
      </x:c>
      <x:c r="Q79" s="19" t="str">
        <x:v>No</x:v>
      </x:c>
      <x:c r="R79" s="19" t="str">
        <x:v>LLM review</x:v>
      </x:c>
      <x:c r="S79" s="19" t="str">
        <x:v>Yes</x:v>
      </x:c>
      <x:c r="T79" s="22" t="str">
        <x:v>The brand is discovered through a tag/mention but is not clearly the subject of the caption.</x:v>
      </x:c>
    </x:row>
    <x:row r="80">
      <x:c r="A80" s="9" t="str">
        <x:v>Instagram</x:v>
      </x:c>
      <x:c r="B80" s="10" t="str">
        <x:v>IG hashtag</x:v>
      </x:c>
      <x:c r="C80" s="10" t="str">
        <x:v>3918180195757149802</x:v>
      </x:c>
      <x:c r="D80" s="16" t="n">
        <x:v>46185.93864583333</x:v>
      </x:c>
      <x:c r="E80" s="10" t="str">
        <x:v>godin.jpg</x:v>
      </x:c>
      <x:c r="F80" s="10" t="str">
        <x:v>Sidecar</x:v>
      </x:c>
      <x:c r="G80"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80" s="19" t="str">
        <x:v>#designforsale #clothingbrand #designs #streetwearbrand #streetwear #streetweardesigner #usastreetwear #americanapparel #urbanfashion #fashiondesigners</x:v>
      </x:c>
      <x:c r="I80" s="19" t="str"/>
      <x:c r="J80" s="25" t="n">
        <x:v>1</x:v>
      </x:c>
      <x:c r="K80" s="25" t="n">
        <x:v>3</x:v>
      </x:c>
      <x:c r="L80" s="25" t="n">
        <x:v>0</x:v>
      </x:c>
      <x:c r="M80" s="25" t="n">
        <x:v>0</x:v>
      </x:c>
      <x:c r="N80" s="19" t="str">
        <x:v>https://www.instagram.com/p/DZgLCDuE05q/</x:v>
      </x:c>
      <x:c r="O80" s="19" t="str"/>
      <x:c r="P80" s="19" t="str">
        <x:v>Design-sale noise</x:v>
      </x:c>
      <x:c r="Q80" s="19" t="str">
        <x:v>No</x:v>
      </x:c>
      <x:c r="R80" s="19" t="str">
        <x:v>Skip</x:v>
      </x:c>
      <x:c r="S80" s="19" t="str">
        <x:v>No</x:v>
      </x:c>
      <x:c r="T80" s="22" t="str">
        <x:v>Design/mockup sale language; not consumer discussion of American Apparel.</x:v>
      </x:c>
    </x:row>
    <x:row r="81">
      <x:c r="A81" s="9" t="str">
        <x:v>Instagram</x:v>
      </x:c>
      <x:c r="B81" s="10" t="str">
        <x:v>IG hashtag</x:v>
      </x:c>
      <x:c r="C81" s="10" t="str">
        <x:v>3918238897600093478</x:v>
      </x:c>
      <x:c r="D81" s="16" t="n">
        <x:v>46186.01962962963</x:v>
      </x:c>
      <x:c r="E81" s="10" t="str">
        <x:v>voidworks.usa</x:v>
      </x:c>
      <x:c r="F81" s="10" t="str">
        <x:v>Sidecar</x:v>
      </x:c>
      <x:c r="G81"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V010 #americanapparel #streetwear #clothing #unitedstates #clothingbrand</x:v>
      </x:c>
      <x:c r="H81" s="19" t="str">
        <x:v>#americanapparel #streetwear #clothing #unitedstates #clothingbrand</x:v>
      </x:c>
      <x:c r="I81" s="19" t="str"/>
      <x:c r="J81" s="25" t="n">
        <x:v>1</x:v>
      </x:c>
      <x:c r="K81" s="25" t="n">
        <x:v>1</x:v>
      </x:c>
      <x:c r="L81" s="25" t="n">
        <x:v>0</x:v>
      </x:c>
      <x:c r="M81" s="25" t="n">
        <x:v>0</x:v>
      </x:c>
      <x:c r="N81" s="19" t="str">
        <x:v>https://www.instagram.com/p/DZgYYSEkl0m/</x:v>
      </x:c>
      <x:c r="O81" s="19" t="str"/>
      <x:c r="P81" s="19" t="str">
        <x:v>Design-sale noise</x:v>
      </x:c>
      <x:c r="Q81" s="19" t="str">
        <x:v>No</x:v>
      </x:c>
      <x:c r="R81" s="19" t="str">
        <x:v>Skip</x:v>
      </x:c>
      <x:c r="S81" s="19" t="str">
        <x:v>No</x:v>
      </x:c>
      <x:c r="T81" s="22" t="str">
        <x:v>Design/mockup sale language; not consumer discussion of American Apparel.</x:v>
      </x:c>
    </x:row>
    <x:row r="82">
      <x:c r="A82" s="9" t="str">
        <x:v>Instagram</x:v>
      </x:c>
      <x:c r="B82" s="10" t="str">
        <x:v>IG hashtag</x:v>
      </x:c>
      <x:c r="C82" s="10" t="str">
        <x:v>3918589617323160295</x:v>
      </x:c>
      <x:c r="D82" s="16" t="n">
        <x:v>46186.503541666665</x:v>
      </x:c>
      <x:c r="E82" s="10" t="str">
        <x:v>andysdisaster</x:v>
      </x:c>
      <x:c r="F82" s="10" t="str">
        <x:v>Sidecar</x:v>
      </x:c>
      <x:c r="G82" s="19" t="str">
        <x:v>Graphic Design Streetwear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82" s="19" t="str">
        <x:v>#americanapparel #streetwear #clothing #unitedstates #clothingbrand</x:v>
      </x:c>
      <x:c r="I82" s="19" t="str"/>
      <x:c r="J82" s="25" t="n">
        <x:v>1</x:v>
      </x:c>
      <x:c r="K82" s="25" t="n">
        <x:v>30</x:v>
      </x:c>
      <x:c r="L82" s="25" t="n">
        <x:v>0</x:v>
      </x:c>
      <x:c r="M82" s="25" t="n">
        <x:v>0</x:v>
      </x:c>
      <x:c r="N82" s="19" t="str">
        <x:v>https://www.instagram.com/p/DZhoH7RFLLn/</x:v>
      </x:c>
      <x:c r="O82" s="19" t="str"/>
      <x:c r="P82" s="19" t="str">
        <x:v>Design-sale noise</x:v>
      </x:c>
      <x:c r="Q82" s="19" t="str">
        <x:v>No</x:v>
      </x:c>
      <x:c r="R82" s="19" t="str">
        <x:v>Skip</x:v>
      </x:c>
      <x:c r="S82" s="19" t="str">
        <x:v>No</x:v>
      </x:c>
      <x:c r="T82" s="22" t="str">
        <x:v>Design/mockup sale language; not consumer discussion of American Apparel.</x:v>
      </x:c>
    </x:row>
    <x:row r="83">
      <x:c r="A83" s="9" t="str">
        <x:v>Instagram</x:v>
      </x:c>
      <x:c r="B83" s="10" t="str">
        <x:v>IG hashtag</x:v>
      </x:c>
      <x:c r="C83" s="10" t="str">
        <x:v>3919450525062633781</x:v>
      </x:c>
      <x:c r="D83" s="16" t="n">
        <x:v>46187.69136574074</x:v>
      </x:c>
      <x:c r="E83" s="10" t="str">
        <x:v>andysdisaster</x:v>
      </x:c>
      <x:c r="F83" s="10" t="str">
        <x:v>Sidecar</x:v>
      </x:c>
      <x:c r="G83" s="19" t="str">
        <x:v>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83" s="19" t="str">
        <x:v>#americanapparel #streetwear #clothing #unitedstates #clothingbrand</x:v>
      </x:c>
      <x:c r="I83" s="19" t="str"/>
      <x:c r="J83" s="25" t="n">
        <x:v>1</x:v>
      </x:c>
      <x:c r="K83" s="25" t="n">
        <x:v>34</x:v>
      </x:c>
      <x:c r="L83" s="25" t="n">
        <x:v>0</x:v>
      </x:c>
      <x:c r="M83" s="25" t="n">
        <x:v>0</x:v>
      </x:c>
      <x:c r="N83" s="19" t="str">
        <x:v>https://www.instagram.com/p/DZkr3yFE5k1/</x:v>
      </x:c>
      <x:c r="O83" s="19" t="str"/>
      <x:c r="P83" s="19" t="str">
        <x:v>Design-sale noise</x:v>
      </x:c>
      <x:c r="Q83" s="19" t="str">
        <x:v>No</x:v>
      </x:c>
      <x:c r="R83" s="19" t="str">
        <x:v>Skip</x:v>
      </x:c>
      <x:c r="S83" s="19" t="str">
        <x:v>No</x:v>
      </x:c>
      <x:c r="T83" s="22" t="str">
        <x:v>Design/mockup sale language; not consumer discussion of American Apparel.</x:v>
      </x:c>
    </x:row>
    <x:row r="84">
      <x:c r="A84" s="9" t="str">
        <x:v>Instagram</x:v>
      </x:c>
      <x:c r="B84" s="10" t="str">
        <x:v>IG hashtag</x:v>
      </x:c>
      <x:c r="C84" s="10" t="str">
        <x:v>3920081940603578416</x:v>
      </x:c>
      <x:c r="D84" s="16" t="n">
        <x:v>46188.56255787037</x:v>
      </x:c>
      <x:c r="E84" s="10" t="str">
        <x:v>americanapparelindia</x:v>
      </x:c>
      <x:c r="F84" s="10" t="str">
        <x:v>Image</x:v>
      </x:c>
      <x:c r="G84" s="19" t="str">
        <x:v>COTTON JOGGERS Move easy. Stay comfortable. Ways to wear it. From home to street, comfort that keeps up. Visit us: https://www.myntra.com/track-pants/american+apparel/american-apparel-unisex-mid-rise-track-pants/37737750/buy #AmericanApparel #Joggers #EffortlessCool #EverydayStyle #MinimalStyle #Reach #Trending</x:v>
      </x:c>
      <x:c r="H84" s="19" t="str">
        <x:v>#AmericanApparel #Joggers #EffortlessCool #EverydayStyle #MinimalStyle #Reach #Trending</x:v>
      </x:c>
      <x:c r="I84" s="19" t="str"/>
      <x:c r="J84" s="25" t="n">
        <x:v>1</x:v>
      </x:c>
      <x:c r="K84" s="25" t="n">
        <x:v>1584</x:v>
      </x:c>
      <x:c r="L84" s="25" t="n">
        <x:v>0</x:v>
      </x:c>
      <x:c r="M84" s="25" t="n">
        <x:v>0</x:v>
      </x:c>
      <x:c r="N84" s="19" t="str">
        <x:v>https://www.instagram.com/p/DZm7cFoGagw/</x:v>
      </x:c>
      <x:c r="O84" s="19" t="str"/>
      <x:c r="P84" s="19" t="str">
        <x:v>Likely relevant</x:v>
      </x:c>
      <x:c r="Q84" s="19" t="str">
        <x:v>No</x:v>
      </x:c>
      <x:c r="R84" s="19" t="str">
        <x:v>Scrape comments</x:v>
      </x:c>
      <x:c r="S84" s="19" t="str">
        <x:v>No</x:v>
      </x:c>
      <x:c r="T84" s="22" t="str">
        <x:v>The post explicitly names/tags American Apparel or an identified AA product/style.</x:v>
      </x:c>
    </x:row>
    <x:row r="85">
      <x:c r="A85" s="9" t="str">
        <x:v>Instagram</x:v>
      </x:c>
      <x:c r="B85" s="10" t="str">
        <x:v>IG hashtag</x:v>
      </x:c>
      <x:c r="C85" s="10" t="str">
        <x:v>3920087267119512919</x:v>
      </x:c>
      <x:c r="D85" s="16" t="n">
        <x:v>46188.56993055555</x:v>
      </x:c>
      <x:c r="E85" s="10" t="str">
        <x:v>selena_violet__</x:v>
      </x:c>
      <x:c r="F85" s="10" t="str">
        <x:v>Image</x:v>
      </x:c>
      <x:c r="G85" s="19" t="str">
        <x:v>My tie-dye thigh-highs ❤️🧡💛💚💙💜🖤</x:v>
      </x:c>
      <x:c r="H85" s="19" t="str"/>
      <x:c r="I85" s="19" t="str">
        <x:v>@fesoi_official</x:v>
      </x:c>
      <x:c r="J85" s="25" t="n">
        <x:v>1</x:v>
      </x:c>
      <x:c r="K85" s="25" t="n">
        <x:v>15</x:v>
      </x:c>
      <x:c r="L85" s="25" t="n">
        <x:v>0</x:v>
      </x:c>
      <x:c r="M85" s="25" t="n">
        <x:v>0</x:v>
      </x:c>
      <x:c r="N85" s="19" t="str">
        <x:v>https://www.instagram.com/p/DZm8pmVML1X/</x:v>
      </x:c>
      <x:c r="O85" s="19" t="str"/>
      <x:c r="P85" s="19" t="str">
        <x:v>Ambiguous / incidental</x:v>
      </x:c>
      <x:c r="Q85" s="19" t="str">
        <x:v>No</x:v>
      </x:c>
      <x:c r="R85" s="19" t="str">
        <x:v>LLM review</x:v>
      </x:c>
      <x:c r="S85" s="19" t="str">
        <x:v>Yes</x:v>
      </x:c>
      <x:c r="T85" s="22" t="str">
        <x:v>The brand is discovered through a tag/mention but is not clearly the subject of the caption.</x:v>
      </x:c>
    </x:row>
    <x:row r="86">
      <x:c r="A86" s="9" t="str">
        <x:v>Instagram</x:v>
      </x:c>
      <x:c r="B86" s="10" t="str">
        <x:v>IG mention</x:v>
      </x:c>
      <x:c r="C86" s="10" t="str">
        <x:v>3920130691232853497</x:v>
      </x:c>
      <x:c r="D86" s="16" t="n">
        <x:v>46188.62981481481</x:v>
      </x:c>
      <x:c r="E86" s="10" t="str">
        <x:v>icono.collections</x:v>
      </x:c>
      <x:c r="F86" s="10" t="str">
        <x:v>Sidecar</x:v>
      </x:c>
      <x:c r="G86" s="19" t="str">
        <x:v>Léa Seydoux for American Apparel ads in 2006-2011</x:v>
      </x:c>
      <x:c r="H86" s="19" t="str"/>
      <x:c r="I86" s="19" t="str">
        <x:v>@americanapparel</x:v>
      </x:c>
      <x:c r="J86" s="25" t="n">
        <x:v>1</x:v>
      </x:c>
      <x:c r="K86" s="25" t="n">
        <x:v>-1</x:v>
      </x:c>
      <x:c r="L86" s="25" t="n">
        <x:v>0</x:v>
      </x:c>
      <x:c r="M86" s="25" t="n">
        <x:v>0</x:v>
      </x:c>
      <x:c r="N86" s="19" t="str">
        <x:v>https://www.instagram.com/p/DZnGhgMCm35/</x:v>
      </x:c>
      <x:c r="O86" s="19" t="str"/>
      <x:c r="P86" s="19" t="str">
        <x:v>Likely relevant</x:v>
      </x:c>
      <x:c r="Q86" s="19" t="str">
        <x:v>No</x:v>
      </x:c>
      <x:c r="R86" s="19" t="str">
        <x:v>Scrape comments</x:v>
      </x:c>
      <x:c r="S86" s="19" t="str">
        <x:v>No</x:v>
      </x:c>
      <x:c r="T86" s="22" t="str">
        <x:v>The post explicitly names/tags American Apparel or an identified AA product/style.</x:v>
      </x:c>
    </x:row>
    <x:row r="87">
      <x:c r="A87" s="9" t="str">
        <x:v>Instagram</x:v>
      </x:c>
      <x:c r="B87" s="10" t="str">
        <x:v>IG hashtag</x:v>
      </x:c>
      <x:c r="C87" s="10" t="str">
        <x:v>3920486718680395728</x:v>
      </x:c>
      <x:c r="D87" s="16" t="n">
        <x:v>46189.121041666665</x:v>
      </x:c>
      <x:c r="E87" s="10" t="str">
        <x:v>voidworks.usa</x:v>
      </x:c>
      <x:c r="F87" s="10" t="str">
        <x:v>Sidecar</x:v>
      </x:c>
      <x:c r="G87" s="19" t="str">
        <x:v>sold, thank you!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V013 #americanapparel #streetwear #clothing #unitedstates #clothingbrand</x:v>
      </x:c>
      <x:c r="H87" s="19" t="str">
        <x:v>#americanapparel #streetwear #clothing #unitedstates #clothingbrand</x:v>
      </x:c>
      <x:c r="I87" s="19" t="str"/>
      <x:c r="J87" s="25" t="n">
        <x:v>1</x:v>
      </x:c>
      <x:c r="K87" s="25" t="n">
        <x:v>1</x:v>
      </x:c>
      <x:c r="L87" s="25" t="n">
        <x:v>0</x:v>
      </x:c>
      <x:c r="M87" s="25" t="n">
        <x:v>0</x:v>
      </x:c>
      <x:c r="N87" s="19" t="str">
        <x:v>https://www.instagram.com/p/DZoXeYllO_Q/</x:v>
      </x:c>
      <x:c r="O87" s="19" t="str"/>
      <x:c r="P87" s="19" t="str">
        <x:v>Design-sale noise</x:v>
      </x:c>
      <x:c r="Q87" s="19" t="str">
        <x:v>No</x:v>
      </x:c>
      <x:c r="R87" s="19" t="str">
        <x:v>Skip</x:v>
      </x:c>
      <x:c r="S87" s="19" t="str">
        <x:v>No</x:v>
      </x:c>
      <x:c r="T87" s="22" t="str">
        <x:v>Design/mockup sale language; not consumer discussion of American Apparel.</x:v>
      </x:c>
    </x:row>
    <x:row r="88">
      <x:c r="A88" s="9" t="str">
        <x:v>Instagram</x:v>
      </x:c>
      <x:c r="B88" s="10" t="str">
        <x:v>IG mention</x:v>
      </x:c>
      <x:c r="C88" s="10" t="str">
        <x:v>3920906226215462720</x:v>
      </x:c>
      <x:c r="D88" s="16" t="n">
        <x:v>46189.70245370371</x:v>
      </x:c>
      <x:c r="E88" s="10" t="str">
        <x:v>amandabushman</x:v>
      </x:c>
      <x:c r="F88" s="10" t="str">
        <x:v>Video</x:v>
      </x:c>
      <x:c r="G88" s="19" t="str">
        <x:v>sticking to my local coffee shops next time😭😭 #coffee #mycoffeeorder #starbucks #bananalatte #coffeeorder</x:v>
      </x:c>
      <x:c r="H88" s="19" t="str">
        <x:v>#coffee #mycoffeeorder #starbucks #bananalatte #coffeeorder</x:v>
      </x:c>
      <x:c r="I88" s="19" t="str">
        <x:v>@americanapparel @mauijim @cartier @away</x:v>
      </x:c>
      <x:c r="J88" s="25" t="n">
        <x:v>1</x:v>
      </x:c>
      <x:c r="K88" s="25" t="n">
        <x:v>6</x:v>
      </x:c>
      <x:c r="L88" s="25" t="n">
        <x:v>0</x:v>
      </x:c>
      <x:c r="M88" s="25" t="n">
        <x:v>0</x:v>
      </x:c>
      <x:c r="N88" s="19" t="str">
        <x:v>https://www.instagram.com/p/DZp23BbMKdA/</x:v>
      </x:c>
      <x:c r="O88" s="19" t="str"/>
      <x:c r="P88" s="19" t="str">
        <x:v>Ambiguous / incidental</x:v>
      </x:c>
      <x:c r="Q88" s="19" t="str">
        <x:v>No</x:v>
      </x:c>
      <x:c r="R88" s="19" t="str">
        <x:v>LLM review</x:v>
      </x:c>
      <x:c r="S88" s="19" t="str">
        <x:v>Yes</x:v>
      </x:c>
      <x:c r="T88" s="22" t="str">
        <x:v>The brand is discovered through a tag/mention but is not clearly the subject of the caption.</x:v>
      </x:c>
    </x:row>
    <x:row r="89">
      <x:c r="A89" s="9" t="str">
        <x:v>Instagram</x:v>
      </x:c>
      <x:c r="B89" s="10" t="str">
        <x:v>IG hashtag</x:v>
      </x:c>
      <x:c r="C89" s="10" t="str">
        <x:v>3920948973632380148</x:v>
      </x:c>
      <x:c r="D89" s="16" t="n">
        <x:v>46189.75892361111</x:v>
      </x:c>
      <x:c r="E89" s="10" t="str">
        <x:v>bezirlane.std</x:v>
      </x:c>
      <x:c r="F89" s="10" t="str">
        <x:v>Image</x:v>
      </x:c>
      <x:c r="G89" s="19" t="str">
        <x:v>DESIGN AVAILABLE FOR SALE Tap in via DM to secure yours 🛒 • Fully customizable text &amp; color options • Premium graphic design ready for any garment • Delivered in high-resolution PNG &amp; PSD files • Trusted by multiple brands &amp; international clients • Open for custom logo, merch &amp; full branding requests Every design is made with quality and originality in mind. Displayed brand is only a sample — your own branding will be added after purchase. Appreciate everyone who continues to support and trust our work. 🖤 #streetwear #clothingbrand #graphicdesign #fashion #americanapparel</x:v>
      </x:c>
      <x:c r="H89" s="19" t="str">
        <x:v>#streetwear #clothingbrand #graphicdesign #fashion #americanapparel</x:v>
      </x:c>
      <x:c r="I89" s="19" t="str"/>
      <x:c r="J89" s="25" t="n">
        <x:v>1</x:v>
      </x:c>
      <x:c r="K89" s="25" t="n">
        <x:v>4</x:v>
      </x:c>
      <x:c r="L89" s="25" t="n">
        <x:v>0</x:v>
      </x:c>
      <x:c r="M89" s="25" t="n">
        <x:v>0</x:v>
      </x:c>
      <x:c r="N89" s="19" t="str">
        <x:v>https://www.instagram.com/p/DZqAlFDylz0/</x:v>
      </x:c>
      <x:c r="O89" s="19" t="str"/>
      <x:c r="P89" s="19" t="str">
        <x:v>Design-sale noise</x:v>
      </x:c>
      <x:c r="Q89" s="19" t="str">
        <x:v>No</x:v>
      </x:c>
      <x:c r="R89" s="19" t="str">
        <x:v>Skip</x:v>
      </x:c>
      <x:c r="S89" s="19" t="str">
        <x:v>No</x:v>
      </x:c>
      <x:c r="T89" s="22" t="str">
        <x:v>Design/mockup sale language; not consumer discussion of American Apparel.</x:v>
      </x:c>
    </x:row>
    <x:row r="90">
      <x:c r="A90" s="9" t="str">
        <x:v>Instagram</x:v>
      </x:c>
      <x:c r="B90" s="10" t="str">
        <x:v>IG hashtag</x:v>
      </x:c>
      <x:c r="C90" s="10" t="str">
        <x:v>3921214687118054405</x:v>
      </x:c>
      <x:c r="D90" s="16" t="n">
        <x:v>46190.13017361111</x:v>
      </x:c>
      <x:c r="E90" s="10" t="str">
        <x:v>theprintlabnewyork</x:v>
      </x:c>
      <x:c r="F90" s="10" t="str">
        <x:v>Image</x:v>
      </x:c>
      <x:c r="G90" s="19" t="str">
        <x:v>Limited Edition: A vintage-inspired trucker cap commemorating America’s 250th Anniversary (1776–2026). Embroidered patriotic design, breathable mesh back, and adjustable snapback closure. 🇺🇸Purchase on www.theprintlabny.com $35, while supplies last! #america #america250 #americanapparel #truckercaps #4thofjuly</x:v>
      </x:c>
      <x:c r="H90" s="19" t="str">
        <x:v>#america #america250 #americanapparel #truckercaps #4thofjuly</x:v>
      </x:c>
      <x:c r="I90" s="19" t="str"/>
      <x:c r="J90" s="25" t="n">
        <x:v>1</x:v>
      </x:c>
      <x:c r="K90" s="25" t="n">
        <x:v>4</x:v>
      </x:c>
      <x:c r="L90" s="25" t="n">
        <x:v>0</x:v>
      </x:c>
      <x:c r="M90" s="25" t="n">
        <x:v>0</x:v>
      </x:c>
      <x:c r="N90" s="19" t="str">
        <x:v>https://www.instagram.com/p/DZq8_uBt1QF/</x:v>
      </x:c>
      <x:c r="O90" s="19" t="str"/>
      <x:c r="P90" s="19" t="str">
        <x:v>Likely relevant</x:v>
      </x:c>
      <x:c r="Q90" s="19" t="str">
        <x:v>No</x:v>
      </x:c>
      <x:c r="R90" s="19" t="str">
        <x:v>Scrape comments</x:v>
      </x:c>
      <x:c r="S90" s="19" t="str">
        <x:v>No</x:v>
      </x:c>
      <x:c r="T90" s="22" t="str">
        <x:v>The post explicitly names/tags American Apparel or an identified AA product/style.</x:v>
      </x:c>
    </x:row>
    <x:row r="91">
      <x:c r="A91" s="9" t="str">
        <x:v>Instagram</x:v>
      </x:c>
      <x:c r="B91" s="10" t="str">
        <x:v>IG hashtag</x:v>
      </x:c>
      <x:c r="C91" s="10" t="str">
        <x:v>3921328923811852692</x:v>
      </x:c>
      <x:c r="D91" s="16" t="n">
        <x:v>46190.28605324074</x:v>
      </x:c>
      <x:c r="E91" s="10" t="str">
        <x:v>press.brothers</x:v>
      </x:c>
      <x:c r="F91" s="10" t="str">
        <x:v>Image</x:v>
      </x:c>
      <x:c r="G91" s="19" t="str">
        <x:v>Crop tees. Heavy tees. Drop shoulder tees. Caps from flexfit, ascolour, inivi and more. Print or engrave. Let us mock something up for you so you can stop wondering. #ascolour #americanapparel #ramo</x:v>
      </x:c>
      <x:c r="H91" s="19" t="str">
        <x:v>#ascolour #americanapparel #ramo</x:v>
      </x:c>
      <x:c r="I91" s="19" t="str"/>
      <x:c r="J91" s="25" t="n">
        <x:v>1</x:v>
      </x:c>
      <x:c r="K91" s="25" t="n">
        <x:v>6</x:v>
      </x:c>
      <x:c r="L91" s="25" t="n">
        <x:v>0</x:v>
      </x:c>
      <x:c r="M91" s="25" t="n">
        <x:v>0</x:v>
      </x:c>
      <x:c r="N91" s="19" t="str">
        <x:v>https://www.instagram.com/p/DZrW-FPRTGU/</x:v>
      </x:c>
      <x:c r="O91" s="19" t="str"/>
      <x:c r="P91" s="19" t="str">
        <x:v>Likely relevant</x:v>
      </x:c>
      <x:c r="Q91" s="19" t="str">
        <x:v>No</x:v>
      </x:c>
      <x:c r="R91" s="19" t="str">
        <x:v>Scrape comments</x:v>
      </x:c>
      <x:c r="S91" s="19" t="str">
        <x:v>No</x:v>
      </x:c>
      <x:c r="T91" s="22" t="str">
        <x:v>The post explicitly names/tags American Apparel or an identified AA product/style.</x:v>
      </x:c>
    </x:row>
    <x:row r="92">
      <x:c r="A92" s="9" t="str">
        <x:v>Instagram</x:v>
      </x:c>
      <x:c r="B92" s="10" t="str">
        <x:v>IG hashtag</x:v>
      </x:c>
      <x:c r="C92" s="10" t="str">
        <x:v>3921478041960963262</x:v>
      </x:c>
      <x:c r="D92" s="16" t="n">
        <x:v>46190.48880787037</x:v>
      </x:c>
      <x:c r="E92" s="10" t="str">
        <x:v>sixsensestudio.id</x:v>
      </x:c>
      <x:c r="F92" s="10" t="str">
        <x:v>Sidecar</x:v>
      </x:c>
      <x:c r="G92" s="19" t="str">
        <x:v>(AVAILABLE ) DESIGN FOR SALE🚨 Want this vibe for your brand? Slide to see other, then hit me on DM! [CODE: 008] • Exclusive for one buyer • All text can be changed • Colors can be changed • Digital Product, PNG/PSD Files #designforsales #clothingdesigner #graphicdesigner #americanapparel #streetweardesign</x:v>
      </x:c>
      <x:c r="H92" s="19" t="str">
        <x:v>#designforsales #clothingdesigner #graphicdesigner #americanapparel #streetweardesign</x:v>
      </x:c>
      <x:c r="I92" s="19" t="str"/>
      <x:c r="J92" s="25" t="n">
        <x:v>1</x:v>
      </x:c>
      <x:c r="K92" s="25" t="n">
        <x:v>4</x:v>
      </x:c>
      <x:c r="L92" s="25" t="n">
        <x:v>0</x:v>
      </x:c>
      <x:c r="M92" s="25" t="n">
        <x:v>0</x:v>
      </x:c>
      <x:c r="N92" s="19" t="str">
        <x:v>https://www.instagram.com/p/DZr44CVk9y-/</x:v>
      </x:c>
      <x:c r="O92" s="19" t="str"/>
      <x:c r="P92" s="19" t="str">
        <x:v>Design-sale noise</x:v>
      </x:c>
      <x:c r="Q92" s="19" t="str">
        <x:v>No</x:v>
      </x:c>
      <x:c r="R92" s="19" t="str">
        <x:v>Skip</x:v>
      </x:c>
      <x:c r="S92" s="19" t="str">
        <x:v>No</x:v>
      </x:c>
      <x:c r="T92" s="22" t="str">
        <x:v>Design/mockup sale language; not consumer discussion of American Apparel.</x:v>
      </x:c>
    </x:row>
    <x:row r="93">
      <x:c r="A93" s="9" t="str">
        <x:v>Instagram</x:v>
      </x:c>
      <x:c r="B93" s="10" t="str">
        <x:v>IG hashtag</x:v>
      </x:c>
      <x:c r="C93" s="10" t="str">
        <x:v>3921490357846729075</x:v>
      </x:c>
      <x:c r="D93" s="16" t="n">
        <x:v>46190.50579861111</x:v>
      </x:c>
      <x:c r="E93" s="10" t="str">
        <x:v>mysticmuse.dsg</x:v>
      </x:c>
      <x:c r="F93" s="10" t="str">
        <x:v>Sidecar</x:v>
      </x:c>
      <x:c r="G93" s="19" t="str">
        <x:v>DESIGN FOR SALE 🔥 Include Files : ▫️Source Files (PSD) ▫️PNG (no background) ▫️JPEG/JPG (HD) ✅ Text and Color Can Be Changed ✅ DM me for Price ✅ HD (5000x5000px 300dpi) ✅ Exclusive for one buyer only!! CODE : 400</x:v>
      </x:c>
      <x:c r="H93" s="19" t="str"/>
      <x:c r="I93" s="19" t="str"/>
      <x:c r="J93" s="25" t="n">
        <x:v>1</x:v>
      </x:c>
      <x:c r="K93" s="25" t="n">
        <x:v>3</x:v>
      </x:c>
      <x:c r="L93" s="25" t="n">
        <x:v>0</x:v>
      </x:c>
      <x:c r="M93" s="25" t="n">
        <x:v>0</x:v>
      </x:c>
      <x:c r="N93" s="19" t="str">
        <x:v>https://www.instagram.com/p/DZr7rQZkuFz/</x:v>
      </x:c>
      <x:c r="O93" s="19" t="str"/>
      <x:c r="P93" s="19" t="str">
        <x:v>Design-sale noise</x:v>
      </x:c>
      <x:c r="Q93" s="19" t="str">
        <x:v>No</x:v>
      </x:c>
      <x:c r="R93" s="19" t="str">
        <x:v>Skip</x:v>
      </x:c>
      <x:c r="S93" s="19" t="str">
        <x:v>No</x:v>
      </x:c>
      <x:c r="T93" s="22" t="str">
        <x:v>Design/mockup sale language; not consumer discussion of American Apparel.</x:v>
      </x:c>
    </x:row>
    <x:row r="94">
      <x:c r="A94" s="9" t="str">
        <x:v>Instagram</x:v>
      </x:c>
      <x:c r="B94" s="10" t="str">
        <x:v>IG hashtag</x:v>
      </x:c>
      <x:c r="C94" s="10" t="str">
        <x:v>3921526677105589828</x:v>
      </x:c>
      <x:c r="D94" s="16" t="n">
        <x:v>46190.55590277778</x:v>
      </x:c>
      <x:c r="E94" s="10" t="str">
        <x:v>bezirlane.std</x:v>
      </x:c>
      <x:c r="F94" s="10" t="str">
        <x:v>Sidecar</x:v>
      </x:c>
      <x:c r="G94" s="19" t="str">
        <x:v>DESIGN AVAILABLE FOR SALE Tap in via DM to secure yours 🛒 • Fully customizable text &amp; color options • Premium graphic design ready for any garment • Delivered in high-resolution PNG &amp; PSD files • Trusted by multiple brands &amp; international clients • Open for custom logo, merch &amp; full branding requests Every design is made with quality and originality in mind. Displayed brand is only a sample — your own branding will be added after purchase. Appreciate everyone who continues to support and trust our work. 🖤 #streetwear #clothingbrand #graphicdesign #fashion #americanapparel</x:v>
      </x:c>
      <x:c r="H94" s="19" t="str">
        <x:v>#streetwear #clothingbrand #graphicdesign #fashion #americanapparel</x:v>
      </x:c>
      <x:c r="I94" s="19" t="str"/>
      <x:c r="J94" s="25" t="n">
        <x:v>1</x:v>
      </x:c>
      <x:c r="K94" s="25" t="n">
        <x:v>2</x:v>
      </x:c>
      <x:c r="L94" s="25" t="n">
        <x:v>0</x:v>
      </x:c>
      <x:c r="M94" s="25" t="n">
        <x:v>0</x:v>
      </x:c>
      <x:c r="N94" s="19" t="str">
        <x:v>https://www.instagram.com/p/DZsD7xWGL5E/</x:v>
      </x:c>
      <x:c r="O94" s="19" t="str"/>
      <x:c r="P94" s="19" t="str">
        <x:v>Design-sale noise</x:v>
      </x:c>
      <x:c r="Q94" s="19" t="str">
        <x:v>No</x:v>
      </x:c>
      <x:c r="R94" s="19" t="str">
        <x:v>Skip</x:v>
      </x:c>
      <x:c r="S94" s="19" t="str">
        <x:v>No</x:v>
      </x:c>
      <x:c r="T94" s="22" t="str">
        <x:v>Design/mockup sale language; not consumer discussion of American Apparel.</x:v>
      </x:c>
    </x:row>
    <x:row r="95">
      <x:c r="A95" s="9" t="str">
        <x:v>Instagram</x:v>
      </x:c>
      <x:c r="B95" s="10" t="str">
        <x:v>IG hashtag</x:v>
      </x:c>
      <x:c r="C95" s="10" t="str">
        <x:v>3922200248206397311</x:v>
      </x:c>
      <x:c r="D95" s="16" t="n">
        <x:v>46191.48541666667</x:v>
      </x:c>
      <x:c r="E95" s="10" t="str">
        <x:v>mysticmuse.dsg</x:v>
      </x:c>
      <x:c r="F95" s="10" t="str">
        <x:v>Image</x:v>
      </x:c>
      <x:c r="G95" s="19" t="str">
        <x:v>DESIGN FOR SALE 🔥 Include Files : ▫️Source Files (PSD) ▫️PNG (no background) ▫️JPEG/JPG (HD) ✅ Text and Color Can Be Changed ✅ DM me for Price ✅ HD (5000x5000px 300dpi) ✅ Exclusive for one buyer only!! CODE : 402</x:v>
      </x:c>
      <x:c r="H95" s="19" t="str"/>
      <x:c r="I95" s="19" t="str"/>
      <x:c r="J95" s="25" t="n">
        <x:v>1</x:v>
      </x:c>
      <x:c r="K95" s="25" t="n">
        <x:v>2</x:v>
      </x:c>
      <x:c r="L95" s="25" t="n">
        <x:v>0</x:v>
      </x:c>
      <x:c r="M95" s="25" t="n">
        <x:v>0</x:v>
      </x:c>
      <x:c r="N95" s="19" t="str">
        <x:v>https://www.instagram.com/p/DZudFhUSo9_/</x:v>
      </x:c>
      <x:c r="O95" s="19" t="str"/>
      <x:c r="P95" s="19" t="str">
        <x:v>Design-sale noise</x:v>
      </x:c>
      <x:c r="Q95" s="19" t="str">
        <x:v>No</x:v>
      </x:c>
      <x:c r="R95" s="19" t="str">
        <x:v>Skip</x:v>
      </x:c>
      <x:c r="S95" s="19" t="str">
        <x:v>No</x:v>
      </x:c>
      <x:c r="T95" s="22" t="str">
        <x:v>Design/mockup sale language; not consumer discussion of American Apparel.</x:v>
      </x:c>
    </x:row>
    <x:row r="96">
      <x:c r="A96" s="9" t="str">
        <x:v>Instagram</x:v>
      </x:c>
      <x:c r="B96" s="10" t="str">
        <x:v>IG hashtag</x:v>
      </x:c>
      <x:c r="C96" s="10" t="str">
        <x:v>3922239968849191137</x:v>
      </x:c>
      <x:c r="D96" s="16" t="n">
        <x:v>46191.54005787037</x:v>
      </x:c>
      <x:c r="E96" s="10" t="str">
        <x:v>bezirlane.std</x:v>
      </x:c>
      <x:c r="F96" s="10" t="str">
        <x:v>Sidecar</x:v>
      </x:c>
      <x:c r="G96" s="19" t="str">
        <x:v>DESIGN AVAILABLE FOR SALE Tap in via DM to secure yours 🛒 • Fully customizable text &amp; color options • Premium graphic design ready for any garment • Delivered in high-resolution PNG &amp; PSD files • Trusted by multiple brands &amp; international clients • Open for custom logo, merch &amp; full branding requests Every design is made with quality and originality in mind. Displayed brand is only a sample — your own branding will be added after purchase. Appreciate everyone who continues to support and trust our work. 🖤 #streetwear #clothingbrand #graphicdesign #fashion #americanapparel</x:v>
      </x:c>
      <x:c r="H96" s="19" t="str">
        <x:v>#streetwear #clothingbrand #graphicdesign #fashion #americanapparel</x:v>
      </x:c>
      <x:c r="I96" s="19" t="str"/>
      <x:c r="J96" s="25" t="n">
        <x:v>1</x:v>
      </x:c>
      <x:c r="K96" s="25" t="n">
        <x:v>3</x:v>
      </x:c>
      <x:c r="L96" s="25" t="n">
        <x:v>0</x:v>
      </x:c>
      <x:c r="M96" s="25" t="n">
        <x:v>0</x:v>
      </x:c>
      <x:c r="N96" s="19" t="str">
        <x:v>https://www.instagram.com/p/DZumHiDGGDh/</x:v>
      </x:c>
      <x:c r="O96" s="19" t="str"/>
      <x:c r="P96" s="19" t="str">
        <x:v>Design-sale noise</x:v>
      </x:c>
      <x:c r="Q96" s="19" t="str">
        <x:v>No</x:v>
      </x:c>
      <x:c r="R96" s="19" t="str">
        <x:v>Skip</x:v>
      </x:c>
      <x:c r="S96" s="19" t="str">
        <x:v>No</x:v>
      </x:c>
      <x:c r="T96" s="22" t="str">
        <x:v>Design/mockup sale language; not consumer discussion of American Apparel.</x:v>
      </x:c>
    </x:row>
    <x:row r="97">
      <x:c r="A97" s="9" t="str">
        <x:v>Instagram</x:v>
      </x:c>
      <x:c r="B97" s="10" t="str">
        <x:v>IG hashtag</x:v>
      </x:c>
      <x:c r="C97" s="10" t="str">
        <x:v>3922348673615401916</x:v>
      </x:c>
      <x:c r="D97" s="16" t="n">
        <x:v>46191.690046296295</x:v>
      </x:c>
      <x:c r="E97" s="10" t="str">
        <x:v>mysticmuse.dsg</x:v>
      </x:c>
      <x:c r="F97" s="10" t="str">
        <x:v>Sidecar</x:v>
      </x:c>
      <x:c r="G97" s="19" t="str">
        <x:v>DESIGN FOR SALE 🔥 Include Files : ▫️Source Files (PSD) ▫️PNG (no background) ▫️JPEG/JPG (HD) ✅ Text and Color Can Be Changed ✅ DM me for Price ✅ HD (5000x5000px 300dpi) ✅ Exclusive for one buyer only!! CODE : 403</x:v>
      </x:c>
      <x:c r="H97" s="19" t="str"/>
      <x:c r="I97" s="19" t="str"/>
      <x:c r="J97" s="25" t="n">
        <x:v>1</x:v>
      </x:c>
      <x:c r="K97" s="25" t="n">
        <x:v>2</x:v>
      </x:c>
      <x:c r="L97" s="25" t="n">
        <x:v>0</x:v>
      </x:c>
      <x:c r="M97" s="25" t="n">
        <x:v>0</x:v>
      </x:c>
      <x:c r="N97" s="19" t="str">
        <x:v>https://www.instagram.com/p/DZu-1ZQEhO8/</x:v>
      </x:c>
      <x:c r="O97" s="19" t="str"/>
      <x:c r="P97" s="19" t="str">
        <x:v>Design-sale noise</x:v>
      </x:c>
      <x:c r="Q97" s="19" t="str">
        <x:v>No</x:v>
      </x:c>
      <x:c r="R97" s="19" t="str">
        <x:v>Skip</x:v>
      </x:c>
      <x:c r="S97" s="19" t="str">
        <x:v>No</x:v>
      </x:c>
      <x:c r="T97" s="22" t="str">
        <x:v>Design/mockup sale language; not consumer discussion of American Apparel.</x:v>
      </x:c>
    </x:row>
    <x:row r="98">
      <x:c r="A98" s="9" t="str">
        <x:v>Instagram</x:v>
      </x:c>
      <x:c r="B98" s="10" t="str">
        <x:v>IG hashtag</x:v>
      </x:c>
      <x:c r="C98" s="10" t="str">
        <x:v>3922905381236519106</x:v>
      </x:c>
      <x:c r="D98" s="16" t="n">
        <x:v>46192.45815972222</x:v>
      </x:c>
      <x:c r="E98" s="10" t="str">
        <x:v>mysticmuse.dsg</x:v>
      </x:c>
      <x:c r="F98" s="10" t="str">
        <x:v>Sidecar</x:v>
      </x:c>
      <x:c r="G98" s="19" t="str">
        <x:v>DESIGN FOR SALE 🔥 Include Files : ▫️Source Files (PSD) ▫️PNG (no background) ▫️JPEG/JPG (HD) ✅ Text and Color Can Be Changed ✅ DM me for Price ✅ HD (5000x5000px 300dpi) ✅ Exclusive for one buyer only!! CODE : 404</x:v>
      </x:c>
      <x:c r="H98" s="19" t="str"/>
      <x:c r="I98" s="19" t="str"/>
      <x:c r="J98" s="25" t="n">
        <x:v>1</x:v>
      </x:c>
      <x:c r="K98" s="25" t="n">
        <x:v>2</x:v>
      </x:c>
      <x:c r="L98" s="25" t="n">
        <x:v>0</x:v>
      </x:c>
      <x:c r="M98" s="25" t="n">
        <x:v>0</x:v>
      </x:c>
      <x:c r="N98" s="19" t="str">
        <x:v>https://www.instagram.com/p/DZw9ajoEjDC/</x:v>
      </x:c>
      <x:c r="O98" s="19" t="str"/>
      <x:c r="P98" s="19" t="str">
        <x:v>Design-sale noise</x:v>
      </x:c>
      <x:c r="Q98" s="19" t="str">
        <x:v>No</x:v>
      </x:c>
      <x:c r="R98" s="19" t="str">
        <x:v>Skip</x:v>
      </x:c>
      <x:c r="S98" s="19" t="str">
        <x:v>No</x:v>
      </x:c>
      <x:c r="T98" s="22" t="str">
        <x:v>Design/mockup sale language; not consumer discussion of American Apparel.</x:v>
      </x:c>
    </x:row>
    <x:row r="99">
      <x:c r="A99" s="9" t="str">
        <x:v>Instagram</x:v>
      </x:c>
      <x:c r="B99" s="10" t="str">
        <x:v>IG hashtag</x:v>
      </x:c>
      <x:c r="C99" s="10" t="str">
        <x:v>3923282141886581311</x:v>
      </x:c>
      <x:c r="D99" s="16" t="n">
        <x:v>46192.978101851855</x:v>
      </x:c>
      <x:c r="E99" s="10" t="str">
        <x:v>mysticmuse.dsg</x:v>
      </x:c>
      <x:c r="F99" s="10" t="str">
        <x:v>Image</x:v>
      </x:c>
      <x:c r="G99" s="19" t="str">
        <x:v>DESIGN FOR SALE 🔥 Include Files : ▫️Source Files (PSD) ▫️PNG (no background) ▫️JPEG/JPG (HD) ✅ Text and Color Can Be Changed ✅ DM me for Price ✅ HD (5000x5000px 300dpi) ✅ Exclusive for one buyer only!! CODE : 405</x:v>
      </x:c>
      <x:c r="H99" s="19" t="str"/>
      <x:c r="I99" s="19" t="str"/>
      <x:c r="J99" s="25" t="n">
        <x:v>1</x:v>
      </x:c>
      <x:c r="K99" s="25" t="n">
        <x:v>1</x:v>
      </x:c>
      <x:c r="L99" s="25" t="n">
        <x:v>0</x:v>
      </x:c>
      <x:c r="M99" s="25" t="n">
        <x:v>0</x:v>
      </x:c>
      <x:c r="N99" s="19" t="str">
        <x:v>https://www.instagram.com/p/DZyTFJUyIo_/</x:v>
      </x:c>
      <x:c r="O99" s="19" t="str"/>
      <x:c r="P99" s="19" t="str">
        <x:v>Design-sale noise</x:v>
      </x:c>
      <x:c r="Q99" s="19" t="str">
        <x:v>No</x:v>
      </x:c>
      <x:c r="R99" s="19" t="str">
        <x:v>Skip</x:v>
      </x:c>
      <x:c r="S99" s="19" t="str">
        <x:v>No</x:v>
      </x:c>
      <x:c r="T99" s="22" t="str">
        <x:v>Design/mockup sale language; not consumer discussion of American Apparel.</x:v>
      </x:c>
    </x:row>
    <x:row r="100">
      <x:c r="A100" s="9" t="str">
        <x:v>Instagram</x:v>
      </x:c>
      <x:c r="B100" s="10" t="str">
        <x:v>IG mention</x:v>
      </x:c>
      <x:c r="C100" s="10" t="str">
        <x:v>3923808369743839599</x:v>
      </x:c>
      <x:c r="D100" s="16" t="n">
        <x:v>46193.70481481482</x:v>
      </x:c>
      <x:c r="E100" s="10" t="str">
        <x:v>allisonjacobsgildan</x:v>
      </x:c>
      <x:c r="F100" s="10" t="str">
        <x:v>Image</x:v>
      </x:c>
      <x:c r="G100" s="19" t="str">
        <x:v>Thank you to @denialprintco for bedazzling us the most fabulous shirts for the @ssactivewear event! They were such a hit!</x:v>
      </x:c>
      <x:c r="H100" s="19" t="str"/>
      <x:c r="I100" s="19" t="str">
        <x:v>@denialprintco @ssactivewear @americanapparel</x:v>
      </x:c>
      <x:c r="J100" s="25" t="n">
        <x:v>1</x:v>
      </x:c>
      <x:c r="K100" s="25" t="n">
        <x:v>37</x:v>
      </x:c>
      <x:c r="L100" s="25" t="n">
        <x:v>0</x:v>
      </x:c>
      <x:c r="M100" s="25" t="n">
        <x:v>0</x:v>
      </x:c>
      <x:c r="N100" s="19" t="str">
        <x:v>https://www.instagram.com/p/DZ0KuxNSUFv/</x:v>
      </x:c>
      <x:c r="O100" s="19" t="str"/>
      <x:c r="P100" s="19" t="str">
        <x:v>Ambiguous / incidental</x:v>
      </x:c>
      <x:c r="Q100" s="19" t="str">
        <x:v>No</x:v>
      </x:c>
      <x:c r="R100" s="19" t="str">
        <x:v>LLM review</x:v>
      </x:c>
      <x:c r="S100" s="19" t="str">
        <x:v>Yes</x:v>
      </x:c>
      <x:c r="T100" s="22" t="str">
        <x:v>The brand is discovered through a tag/mention but is not clearly the subject of the caption.</x:v>
      </x:c>
    </x:row>
    <x:row r="101">
      <x:c r="A101" s="9" t="str">
        <x:v>Instagram</x:v>
      </x:c>
      <x:c r="B101" s="10" t="str">
        <x:v>IG hashtag</x:v>
      </x:c>
      <x:c r="C101" s="10" t="str">
        <x:v>3924415586461581610</x:v>
      </x:c>
      <x:c r="D101" s="16" t="n">
        <x:v>46194.54184027778</x:v>
      </x:c>
      <x:c r="E101" s="10" t="str">
        <x:v>ezyt.thailand</x:v>
      </x:c>
      <x:c r="F101" s="10" t="str">
        <x:v>Sidecar</x:v>
      </x:c>
      <x:c r="G101" s="19" t="str">
        <x:v>บางสิ่งต้องใช้เวลา... และเสื้อตัวโปรดก็เป็นหนึ่งในนั้น TIME STAGE Garment Dyed Heavyweight T-Shirt ที่ออกแบบมาให้เกิดคาแรกเตอร์จากการใช้งานจริง ไม่ใช่เสื้อที่พยายามดูวินเทจตั้งแต่วันแรก แต่เป็นเสื้อที่พร้อมรับทุกการเดินทาง ทุกการสวมใส่ และทุกเรื่องราวที่กำลังจะเกิดขึ้น ยิ่งใส่ ยิ่งเป็นตัวคุณ... 📌กดสั่งซื้อได้ที่ Linktree หน้า BIO ได้เลย #americanapparel #vintagestyle #ezytthailand</x:v>
      </x:c>
      <x:c r="H101" s="19" t="str">
        <x:v>#americanapparel #vintagestyle #ezytthailand</x:v>
      </x:c>
      <x:c r="I101" s="19" t="str"/>
      <x:c r="J101" s="25" t="n">
        <x:v>1</x:v>
      </x:c>
      <x:c r="K101" s="25" t="n">
        <x:v>122</x:v>
      </x:c>
      <x:c r="L101" s="25" t="n">
        <x:v>0</x:v>
      </x:c>
      <x:c r="M101" s="25" t="n">
        <x:v>0</x:v>
      </x:c>
      <x:c r="N101" s="19" t="str">
        <x:v>https://www.instagram.com/p/DZ2Uy72DIEq/</x:v>
      </x:c>
      <x:c r="O101" s="19" t="str"/>
      <x:c r="P101" s="19" t="str">
        <x:v>Likely relevant</x:v>
      </x:c>
      <x:c r="Q101" s="19" t="str">
        <x:v>No</x:v>
      </x:c>
      <x:c r="R101" s="19" t="str">
        <x:v>Scrape comments</x:v>
      </x:c>
      <x:c r="S101" s="19" t="str">
        <x:v>No</x:v>
      </x:c>
      <x:c r="T101" s="22" t="str">
        <x:v>The post explicitly names/tags American Apparel or an identified AA product/style.</x:v>
      </x:c>
    </x:row>
    <x:row r="102">
      <x:c r="A102" s="9" t="str">
        <x:v>Instagram</x:v>
      </x:c>
      <x:c r="B102" s="10" t="str">
        <x:v>IG hashtag</x:v>
      </x:c>
      <x:c r="C102" s="10" t="str">
        <x:v>3924568112657680857</x:v>
      </x:c>
      <x:c r="D102" s="16" t="n">
        <x:v>46194.75240740741</x:v>
      </x:c>
      <x:c r="E102" s="10" t="str">
        <x:v>mysticmuse.dsg</x:v>
      </x:c>
      <x:c r="F102" s="10" t="str">
        <x:v>Image</x:v>
      </x:c>
      <x:c r="G102" s="19" t="str">
        <x:v>DESIGN FOR SALE 🔥 Include Files : ▫️Source Files (PSD) ▫️PNG (no background) ▫️JPEG/JPG (HD) ✅ Text and Color Can Be Changed ✅ DM me for Price ✅ HD (5000x5000px 300dpi) ✅ Exclusive for one buyer only!! CODE : 408</x:v>
      </x:c>
      <x:c r="H102" s="19" t="str"/>
      <x:c r="I102" s="19" t="str"/>
      <x:c r="J102" s="25" t="n">
        <x:v>1</x:v>
      </x:c>
      <x:c r="K102" s="25" t="n">
        <x:v>1</x:v>
      </x:c>
      <x:c r="L102" s="25" t="n">
        <x:v>0</x:v>
      </x:c>
      <x:c r="M102" s="25" t="n">
        <x:v>0</x:v>
      </x:c>
      <x:c r="N102" s="19" t="str">
        <x:v>https://www.instagram.com/p/DZ23ee7yUnZ/</x:v>
      </x:c>
      <x:c r="O102" s="19" t="str"/>
      <x:c r="P102" s="19" t="str">
        <x:v>Design-sale noise</x:v>
      </x:c>
      <x:c r="Q102" s="19" t="str">
        <x:v>No</x:v>
      </x:c>
      <x:c r="R102" s="19" t="str">
        <x:v>Skip</x:v>
      </x:c>
      <x:c r="S102" s="19" t="str">
        <x:v>No</x:v>
      </x:c>
      <x:c r="T102" s="22" t="str">
        <x:v>Design/mockup sale language; not consumer discussion of American Apparel.</x:v>
      </x:c>
    </x:row>
    <x:row r="103">
      <x:c r="A103" s="9" t="str">
        <x:v>Instagram</x:v>
      </x:c>
      <x:c r="B103" s="10" t="str">
        <x:v>IG hashtag</x:v>
      </x:c>
      <x:c r="C103" s="10" t="str">
        <x:v>3926580758756776527</x:v>
      </x:c>
      <x:c r="D103" s="16" t="n">
        <x:v>46197.52921296296</x:v>
      </x:c>
      <x:c r="E103" s="10" t="str">
        <x:v>andysdisaster</x:v>
      </x:c>
      <x:c r="F103" s="10" t="str">
        <x:v>Sidecar</x:v>
      </x:c>
      <x:c r="G103" s="19" t="str">
        <x:v>Graphic Design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103" s="19" t="str">
        <x:v>#americanapparel #streetwear #clothing #unitedstates #clothingbrand</x:v>
      </x:c>
      <x:c r="I103" s="19" t="str"/>
      <x:c r="J103" s="25" t="n">
        <x:v>1</x:v>
      </x:c>
      <x:c r="K103" s="25" t="n">
        <x:v>15</x:v>
      </x:c>
      <x:c r="L103" s="25" t="n">
        <x:v>0</x:v>
      </x:c>
      <x:c r="M103" s="25" t="n">
        <x:v>0</x:v>
      </x:c>
      <x:c r="N103" s="19" t="str">
        <x:v>https://www.instagram.com/p/DZ-BGVrlNpP/</x:v>
      </x:c>
      <x:c r="O103" s="19" t="str"/>
      <x:c r="P103" s="19" t="str">
        <x:v>Design-sale noise</x:v>
      </x:c>
      <x:c r="Q103" s="19" t="str">
        <x:v>No</x:v>
      </x:c>
      <x:c r="R103" s="19" t="str">
        <x:v>Skip</x:v>
      </x:c>
      <x:c r="S103" s="19" t="str">
        <x:v>No</x:v>
      </x:c>
      <x:c r="T103" s="22" t="str">
        <x:v>Design/mockup sale language; not consumer discussion of American Apparel.</x:v>
      </x:c>
    </x:row>
    <x:row r="104">
      <x:c r="A104" s="9" t="str">
        <x:v>Instagram</x:v>
      </x:c>
      <x:c r="B104" s="10" t="str">
        <x:v>IG hashtag</x:v>
      </x:c>
      <x:c r="C104" s="10" t="str">
        <x:v>3927335754037153164</x:v>
      </x:c>
      <x:c r="D104" s="16" t="n">
        <x:v>46198.570914351854</x:v>
      </x:c>
      <x:c r="E104" s="10" t="str">
        <x:v>personalized.graphics.store</x:v>
      </x:c>
      <x:c r="F104" s="10" t="str">
        <x:v>Image</x:v>
      </x:c>
      <x:c r="G104" s="19" t="str">
        <x:v>🇺🇸 250 years, 250 shirts. We made it count. Hot rod + flag + "1776 • 2026 • 250 Years" — this one's basically a rolling 4th of July party on a tee. Limited run — only 250 made, gone by Labor Day, no restock. $24.99. 🔗 link in bio #250thbirthday #250thpost❤️ #250thpost #250thanniversary #250thanniversaryofthefoundingoftheunitedstate #4thofjulyweekend #4thofjuly🇺🇸🇺🇸 #americanapparel</x:v>
      </x:c>
      <x:c r="H104" s="19" t="str">
        <x:v>#250thbirthday #250thpost❤️ #250thpost #250thanniversary #250thanniversaryofthefoundingoftheunitedstate #4thofjulyweekend #4thofjuly🇺🇸🇺🇸 #americanapparel</x:v>
      </x:c>
      <x:c r="I104" s="19" t="str"/>
      <x:c r="J104" s="25" t="n">
        <x:v>1</x:v>
      </x:c>
      <x:c r="K104" s="25" t="n">
        <x:v>1</x:v>
      </x:c>
      <x:c r="L104" s="25" t="n">
        <x:v>0</x:v>
      </x:c>
      <x:c r="M104" s="25" t="n">
        <x:v>0</x:v>
      </x:c>
      <x:c r="N104" s="19" t="str">
        <x:v>https://www.instagram.com/p/DaAsw91E02M/</x:v>
      </x:c>
      <x:c r="O104" s="19" t="str"/>
      <x:c r="P104" s="19" t="str">
        <x:v>Likely relevant</x:v>
      </x:c>
      <x:c r="Q104" s="19" t="str">
        <x:v>No</x:v>
      </x:c>
      <x:c r="R104" s="19" t="str">
        <x:v>Scrape comments</x:v>
      </x:c>
      <x:c r="S104" s="19" t="str">
        <x:v>No</x:v>
      </x:c>
      <x:c r="T104" s="22" t="str">
        <x:v>The post explicitly names/tags American Apparel or an identified AA product/style.</x:v>
      </x:c>
    </x:row>
    <x:row r="105">
      <x:c r="A105" s="9" t="str">
        <x:v>Instagram</x:v>
      </x:c>
      <x:c r="B105" s="10" t="str">
        <x:v>IG hashtag</x:v>
      </x:c>
      <x:c r="C105" s="10" t="str">
        <x:v>3928738549034443619</x:v>
      </x:c>
      <x:c r="D105" s="16" t="n">
        <x:v>46200.50638888889</x:v>
      </x:c>
      <x:c r="E105" s="10" t="str">
        <x:v>voidworks.usa</x:v>
      </x:c>
      <x:c r="F105" s="10" t="str">
        <x:v>Sidecar</x:v>
      </x:c>
      <x:c r="G105"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V025 #americanapparel #streetwear #clothing #unitedstates #clothingbrand</x:v>
      </x:c>
      <x:c r="H105" s="19" t="str">
        <x:v>#americanapparel #streetwear #clothing #unitedstates #clothingbrand</x:v>
      </x:c>
      <x:c r="I105" s="19" t="str"/>
      <x:c r="J105" s="25" t="n">
        <x:v>1</x:v>
      </x:c>
      <x:c r="K105" s="25" t="n">
        <x:v>2</x:v>
      </x:c>
      <x:c r="L105" s="25" t="n">
        <x:v>0</x:v>
      </x:c>
      <x:c r="M105" s="25" t="n">
        <x:v>0</x:v>
      </x:c>
      <x:c r="N105" s="19" t="str">
        <x:v>https://www.instagram.com/p/DaFruUelONj/</x:v>
      </x:c>
      <x:c r="O105" s="19" t="str"/>
      <x:c r="P105" s="19" t="str">
        <x:v>Design-sale noise</x:v>
      </x:c>
      <x:c r="Q105" s="19" t="str">
        <x:v>No</x:v>
      </x:c>
      <x:c r="R105" s="19" t="str">
        <x:v>Skip</x:v>
      </x:c>
      <x:c r="S105" s="19" t="str">
        <x:v>No</x:v>
      </x:c>
      <x:c r="T105" s="22" t="str">
        <x:v>Design/mockup sale language; not consumer discussion of American Apparel.</x:v>
      </x:c>
    </x:row>
    <x:row r="106">
      <x:c r="A106" s="9" t="str">
        <x:v>Instagram</x:v>
      </x:c>
      <x:c r="B106" s="10" t="str">
        <x:v>IG hashtag</x:v>
      </x:c>
      <x:c r="C106" s="10" t="str">
        <x:v>3931019662092512090</x:v>
      </x:c>
      <x:c r="D106" s="16" t="n">
        <x:v>46203.65372685185</x:v>
      </x:c>
      <x:c r="E106" s="10" t="str">
        <x:v>american_attire_formen</x:v>
      </x:c>
      <x:c r="F106" s="10" t="str">
        <x:v>Sidecar</x:v>
      </x:c>
      <x:c r="G106" s="19" t="str">
        <x:v>Minimal design. Premium fabric. Maximum confidence. From everyday outings to weekend plans — this full-sleeve premium polo is made to keep you looking sharp and feeling comfortable all day. 🎨 Available in 5 Premium Colors: 🤍 Beige 🩷 Dusty Pink 💙 Sky Blue 💚 Sage Green 💛 Lime Green ✔ Premium Fabric ✔ Soft &amp; Breathable ✔ Regular Fit ✔ Sizes: M to 4XL Upgrade your wardrobe with timeless essentials. 📍 American Apparel 📍 Mota Varachha, Surat 📩 DM us to order or visit our store today. #AmericanApparel #PremiumPolo #MensFashion #LuxuryStyle #MinimalFashion EverydayLuxury MensWear PoloTshirt FullSleevePolo PremiumQuality FashionForMen OutfitGoals ClassicStyle SuratFashion MotaVarachha CasualWear SmartCasual OOTD StyleUpgrade TrendingFashion MensStyle LuxuryClothing IndianFashion WardrobeEssentials ShopNow</x:v>
      </x:c>
      <x:c r="H106" s="19" t="str">
        <x:v>#AmericanApparel #PremiumPolo #MensFashion #LuxuryStyle #MinimalFashion</x:v>
      </x:c>
      <x:c r="I106" s="19" t="str"/>
      <x:c r="J106" s="25" t="n">
        <x:v>1</x:v>
      </x:c>
      <x:c r="K106" s="25" t="n">
        <x:v>14</x:v>
      </x:c>
      <x:c r="L106" s="25" t="n">
        <x:v>0</x:v>
      </x:c>
      <x:c r="M106" s="25" t="n">
        <x:v>0</x:v>
      </x:c>
      <x:c r="N106" s="19" t="str">
        <x:v>https://www.instagram.com/p/DaNyY4kGata/</x:v>
      </x:c>
      <x:c r="O106" s="19" t="str"/>
      <x:c r="P106" s="19" t="str">
        <x:v>Likely relevant</x:v>
      </x:c>
      <x:c r="Q106" s="19" t="str">
        <x:v>No</x:v>
      </x:c>
      <x:c r="R106" s="19" t="str">
        <x:v>Scrape comments</x:v>
      </x:c>
      <x:c r="S106" s="19" t="str">
        <x:v>No</x:v>
      </x:c>
      <x:c r="T106" s="22" t="str">
        <x:v>The post explicitly names/tags American Apparel or an identified AA product/style.</x:v>
      </x:c>
    </x:row>
    <x:row r="107">
      <x:c r="A107" s="9" t="str">
        <x:v>Instagram</x:v>
      </x:c>
      <x:c r="B107" s="10" t="str">
        <x:v>IG mention</x:v>
      </x:c>
      <x:c r="C107" s="10" t="str">
        <x:v>3916500073163808102</x:v>
      </x:c>
      <x:c r="D107" s="16" t="n">
        <x:v>46183.6234837963</x:v>
      </x:c>
      <x:c r="E107" s="10" t="str">
        <x:v>krcpowersteering</x:v>
      </x:c>
      <x:c r="F107" s="10" t="str">
        <x:v>Image</x:v>
      </x:c>
      <x:c r="G107" s="19" t="str">
        <x:v>🏆 Congratulations to Dalton Zehr and Gildan Racing Team for being selected for this week’s KRC Power Steering Racer Showcase for winning the ASA STARS Midwest Tour Appalachian Sucker Punch 100 at Norway Speedway. Great job! 🏁 #krcpower #krcpowersteering 📸 TJ Harron Photography</x:v>
      </x:c>
      <x:c r="H107" s="19" t="str">
        <x:v>#krcpower #krcpowersteering</x:v>
      </x:c>
      <x:c r="I107" s="19" t="str">
        <x:v>@americanapparel @midwesttour @bassettracing0444 @daltonzehr @racingamerica_ @swiftsprings @simpsonraceproducts @longacreracing @myprishow @hoosiertire @gildan @tjharron @vandoornracingdev @krcpowersteering @bealeracing @aeroracewheels @five_star_bodies @firstbusinessbank @turnoneio @starsnational</x:v>
      </x:c>
      <x:c r="J107" s="25" t="n">
        <x:v>0</x:v>
      </x:c>
      <x:c r="K107" s="25" t="n">
        <x:v>3</x:v>
      </x:c>
      <x:c r="L107" s="25" t="n">
        <x:v>0</x:v>
      </x:c>
      <x:c r="M107" s="25" t="n">
        <x:v>0</x:v>
      </x:c>
      <x:c r="N107" s="19" t="str">
        <x:v>https://www.instagram.com/p/DZaNBDnuF1m/</x:v>
      </x:c>
      <x:c r="O107" s="19" t="str"/>
      <x:c r="P107" s="19" t="str">
        <x:v>Ambiguous / incidental</x:v>
      </x:c>
      <x:c r="Q107" s="19" t="str">
        <x:v>No</x:v>
      </x:c>
      <x:c r="R107" s="19" t="str">
        <x:v>Defer</x:v>
      </x:c>
      <x:c r="S107" s="19" t="str">
        <x:v>No</x:v>
      </x:c>
      <x:c r="T107" s="22" t="str">
        <x:v>The brand is discovered through a tag/mention but is not clearly the subject of the caption.</x:v>
      </x:c>
    </x:row>
    <x:row r="108">
      <x:c r="A108" s="9" t="str">
        <x:v>Instagram</x:v>
      </x:c>
      <x:c r="B108" s="10" t="str">
        <x:v>IG mention</x:v>
      </x:c>
      <x:c r="C108" s="10" t="str">
        <x:v>3917766045104616199</x:v>
      </x:c>
      <x:c r="D108" s="16" t="n">
        <x:v>46185.36722222222</x:v>
      </x:c>
      <x:c r="E108" s="10" t="str">
        <x:v>deshabilleemagazine</x:v>
      </x:c>
      <x:c r="F108" s="10" t="str">
        <x:v>Sidecar</x:v>
      </x:c>
      <x:c r="G108" s="19" t="str">
        <x:v>happy “you seem pretty sad for a girl so in love” release day! which is your fav song on the album so far? ☼｡𖦹 ° . ⋆♡ #oliviarodrigo #youseemprettysadforagirlsoinlove #album #fashion #or</x:v>
      </x:c>
      <x:c r="H108" s="19" t="str">
        <x:v>#oliviarodrigo #youseemprettysadforagirlsoinlove #album #fashion #or</x:v>
      </x:c>
      <x:c r="I108" s="19" t="str">
        <x:v>@ysl @americanapparel @diesel @betsyjohnson_ @ninaricci @annasui @r_and_m_leathers @antonioberardiofficial @sandyliang @oliviarodrigo @chloeandchenelle @gimaguas @generation78_ @rudigernreich @sssilk666</x:v>
      </x:c>
      <x:c r="J108" s="25" t="n">
        <x:v>0</x:v>
      </x:c>
      <x:c r="K108" s="25" t="n">
        <x:v>17</x:v>
      </x:c>
      <x:c r="L108" s="25" t="n">
        <x:v>0</x:v>
      </x:c>
      <x:c r="M108" s="25" t="n">
        <x:v>0</x:v>
      </x:c>
      <x:c r="N108" s="19" t="str">
        <x:v>https://www.instagram.com/p/DZes3X3jDMH/</x:v>
      </x:c>
      <x:c r="O108" s="19" t="str"/>
      <x:c r="P108" s="19" t="str">
        <x:v>Ambiguous / incidental</x:v>
      </x:c>
      <x:c r="Q108" s="19" t="str">
        <x:v>No</x:v>
      </x:c>
      <x:c r="R108" s="19" t="str">
        <x:v>Defer</x:v>
      </x:c>
      <x:c r="S108" s="19" t="str">
        <x:v>No</x:v>
      </x:c>
      <x:c r="T108" s="22" t="str">
        <x:v>The brand is discovered through a tag/mention but is not clearly the subject of the caption.</x:v>
      </x:c>
    </x:row>
    <x:row r="109">
      <x:c r="A109" s="9" t="str">
        <x:v>Instagram</x:v>
      </x:c>
      <x:c r="B109" s="10" t="str">
        <x:v>IG hashtag</x:v>
      </x:c>
      <x:c r="C109" s="10" t="str">
        <x:v>3917949682085167024</x:v>
      </x:c>
      <x:c r="D109" s="16" t="n">
        <x:v>46185.62059027778</x:v>
      </x:c>
      <x:c r="E109" s="10" t="str">
        <x:v>american_attire_formen</x:v>
      </x:c>
      <x:c r="F109" s="10" t="str">
        <x:v>Sidecar</x:v>
      </x:c>
      <x:c r="G109" s="19" t="str">
        <x:v>Luxury isn’t about showing off. It’s about showing up with confidence. Premium Fits. Timeless Style. Unmatched Quality. Elevate your everyday wardrobe with pieces designed to leave a lasting impression. 📍 American Apparel ✨ Where Style Meets Confidence. #AmericanApparel #MensFashion #LuxuryStyle #PremiumWear #StreetLuxury FashionForMen OOTD StyleEssentials MinimalLuxury ClassicFit ModernMan TrendingFashion LuxuryWardrobe SuratFashion Menswear</x:v>
      </x:c>
      <x:c r="H109" s="19" t="str">
        <x:v>#AmericanApparel #MensFashion #LuxuryStyle #PremiumWear #StreetLuxury</x:v>
      </x:c>
      <x:c r="I109" s="19" t="str"/>
      <x:c r="J109" s="25" t="n">
        <x:v>0</x:v>
      </x:c>
      <x:c r="K109" s="25" t="n">
        <x:v>57</x:v>
      </x:c>
      <x:c r="L109" s="25" t="n">
        <x:v>0</x:v>
      </x:c>
      <x:c r="M109" s="25" t="n">
        <x:v>0</x:v>
      </x:c>
      <x:c r="N109" s="19" t="str">
        <x:v>https://www.instagram.com/p/DZfWnpIin-w/</x:v>
      </x:c>
      <x:c r="O109" s="19" t="str"/>
      <x:c r="P109" s="19" t="str">
        <x:v>Likely relevant</x:v>
      </x:c>
      <x:c r="Q109" s="19" t="str">
        <x:v>No</x:v>
      </x:c>
      <x:c r="R109" s="19" t="str">
        <x:v>Keep post; no comments</x:v>
      </x:c>
      <x:c r="S109" s="19" t="str">
        <x:v>No</x:v>
      </x:c>
      <x:c r="T109" s="22" t="str">
        <x:v>The post explicitly names/tags American Apparel or an identified AA product/style.</x:v>
      </x:c>
    </x:row>
    <x:row r="110">
      <x:c r="A110" s="9" t="str">
        <x:v>Instagram</x:v>
      </x:c>
      <x:c r="B110" s="10" t="str">
        <x:v>IG hashtag</x:v>
      </x:c>
      <x:c r="C110" s="10" t="str">
        <x:v>3917989812204970042</x:v>
      </x:c>
      <x:c r="D110" s="16" t="n">
        <x:v>46185.67596064815</x:v>
      </x:c>
      <x:c r="E110" s="10" t="str">
        <x:v>sixsensestudio.id</x:v>
      </x:c>
      <x:c r="F110" s="10" t="str">
        <x:v>Sidecar</x:v>
      </x:c>
      <x:c r="G110" s="19" t="str">
        <x:v>(AVAILABLE ) BUNDLE DESIGN FOR SALE🚨 Want this vibe for your brand? Slide to see other, then hit me on DM! [CODE: 003] • Exclusive for one buyer • All text can be changed • Colors can be changed • Digital Product, PNG/PSD Files #designforsales #clothingdesigner #graphicdesigner #americanapparel #streetweardesign</x:v>
      </x:c>
      <x:c r="H110" s="19" t="str">
        <x:v>#designforsales #clothingdesigner #graphicdesigner #americanapparel #streetweardesign</x:v>
      </x:c>
      <x:c r="I110" s="19" t="str"/>
      <x:c r="J110" s="25" t="n">
        <x:v>0</x:v>
      </x:c>
      <x:c r="K110" s="25" t="n">
        <x:v>3</x:v>
      </x:c>
      <x:c r="L110" s="25" t="n">
        <x:v>0</x:v>
      </x:c>
      <x:c r="M110" s="25" t="n">
        <x:v>0</x:v>
      </x:c>
      <x:c r="N110" s="19" t="str">
        <x:v>https://www.instagram.com/p/DZffvnOE6A6/</x:v>
      </x:c>
      <x:c r="O110" s="19" t="str"/>
      <x:c r="P110" s="19" t="str">
        <x:v>Design-sale noise</x:v>
      </x:c>
      <x:c r="Q110" s="19" t="str">
        <x:v>No</x:v>
      </x:c>
      <x:c r="R110" s="19" t="str">
        <x:v>Skip</x:v>
      </x:c>
      <x:c r="S110" s="19" t="str">
        <x:v>No</x:v>
      </x:c>
      <x:c r="T110" s="22" t="str">
        <x:v>Design/mockup sale language; not consumer discussion of American Apparel.</x:v>
      </x:c>
    </x:row>
    <x:row r="111">
      <x:c r="A111" s="9" t="str">
        <x:v>Instagram</x:v>
      </x:c>
      <x:c r="B111" s="10" t="str">
        <x:v>IG hashtag</x:v>
      </x:c>
      <x:c r="C111" s="10" t="str">
        <x:v>3918155405728627560</x:v>
      </x:c>
      <x:c r="D111" s="16" t="n">
        <x:v>46185.90572916667</x:v>
      </x:c>
      <x:c r="E111" s="10" t="str">
        <x:v>the.lauren.pearl</x:v>
      </x:c>
      <x:c r="F111" s="10" t="str">
        <x:v>Image</x:v>
      </x:c>
      <x:c r="G111" s="19" t="str">
        <x:v>Ohhh man 😍😍😍 Tomorrow 9am CST • Red, White, Blue 🇺🇸 budandbugs.com • #americanapparel #handcraftedearrings #handmadejewelry #wisconsinlife</x:v>
      </x:c>
      <x:c r="H111" s="19" t="str">
        <x:v>#americanapparel #handcraftedearrings #handmadejewelry #wisconsinlife</x:v>
      </x:c>
      <x:c r="I111" s="19" t="str"/>
      <x:c r="J111" s="25" t="n">
        <x:v>0</x:v>
      </x:c>
      <x:c r="K111" s="25" t="n">
        <x:v>3</x:v>
      </x:c>
      <x:c r="L111" s="25" t="n">
        <x:v>0</x:v>
      </x:c>
      <x:c r="M111" s="25" t="n">
        <x:v>0</x:v>
      </x:c>
      <x:c r="N111" s="19" t="str">
        <x:v>https://www.instagram.com/p/DZgFZUNOzto/</x:v>
      </x:c>
      <x:c r="O111" s="19" t="str"/>
      <x:c r="P111" s="19" t="str">
        <x:v>Likely relevant</x:v>
      </x:c>
      <x:c r="Q111" s="19" t="str">
        <x:v>No</x:v>
      </x:c>
      <x:c r="R111" s="19" t="str">
        <x:v>Keep post; no comments</x:v>
      </x:c>
      <x:c r="S111" s="19" t="str">
        <x:v>No</x:v>
      </x:c>
      <x:c r="T111" s="22" t="str">
        <x:v>The post explicitly names/tags American Apparel or an identified AA product/style.</x:v>
      </x:c>
    </x:row>
    <x:row r="112">
      <x:c r="A112" s="9" t="str">
        <x:v>Instagram</x:v>
      </x:c>
      <x:c r="B112" s="10" t="str">
        <x:v>IG hashtag</x:v>
      </x:c>
      <x:c r="C112" s="10" t="str">
        <x:v>3918315380188388489</x:v>
      </x:c>
      <x:c r="D112" s="16" t="n">
        <x:v>46186.12516203704</x:v>
      </x:c>
      <x:c r="E112" s="10" t="str">
        <x:v>gildan_bangkokthailand</x:v>
      </x:c>
      <x:c r="F112" s="10" t="str">
        <x:v>Image</x:v>
      </x:c>
      <x:c r="G112" s="19" t="str">
        <x:v>🔥 สินค้าขายดีประจำสัปดาห์มาแล้ว! อย่าพลาด 3 รุ่นฮิตที่ลูกค้าสั่งซ้ำทุกอาทิตย์ ถ้าคุณกำลังมองหาเสื้อยืดคุณภาพดี ราคาคุ้ม พร้อมสกรีน — นี่คือคำตอบ 👇 ① American Apparel QUG โทนเทาสโตน ลุควินเทจสุดปัง เสื้อ Oversized ที่ใส่แล้วดูแพง ไม่ต้องพยายาม Shop : https://s.shopee.co.th/6fegIunG6L ② United Athle 5006 เสื้อโอเวอร์ไซซ์มีกระเป๋าอก — ดีไซน์เรียบ แต่มีเอกลักษณ์ เหมาะสำหรับงานสกรีน Custom หรือใส่เองก็เท่ Shop : https://s.shopee.co.th/2g8XXcBrT1 ③ Gildan 2000 Ultra Cotton คลาสสิกที่ไม่มีวันตาย 205 gsm เนื้อแน่น นุ่มมือ ใส่ทน เหมาะทำงาน ทำยูนิฟอร์ม หรือสกรีนขายต่อ Shop : https://s.shopee.co.th/gNT9yqhEy สั่งซื้อ/สอบถามเพิ่มเติม: โทร: 0853649795 / 0826953626 Line: @gildanbkk (มีไลน์ @ นำหน้าด้วยนะคะ) อีเมล: gildanofficial789@gmail.com #Gildan #เสื้อยืดคุณภาพ #เสื้อสกรีน #BestSeller #AmericanApparel #UnitedAthle #Gildan2000</x:v>
      </x:c>
      <x:c r="H112" s="19" t="str">
        <x:v>#Gildan #เสื้อยืดคุณภาพ #เสื้อสกรีน #BestSeller #AmericanApparel #UnitedAthle #Gildan2000</x:v>
      </x:c>
      <x:c r="I112" s="19" t="str">
        <x:v>@gildanbkk</x:v>
      </x:c>
      <x:c r="J112" s="25" t="n">
        <x:v>0</x:v>
      </x:c>
      <x:c r="K112" s="25" t="n">
        <x:v>0</x:v>
      </x:c>
      <x:c r="L112" s="25" t="n">
        <x:v>0</x:v>
      </x:c>
      <x:c r="M112" s="25" t="n">
        <x:v>0</x:v>
      </x:c>
      <x:c r="N112" s="19" t="str">
        <x:v>https://www.instagram.com/p/DZgpxQCFByJ/</x:v>
      </x:c>
      <x:c r="O112" s="19" t="str"/>
      <x:c r="P112" s="19" t="str">
        <x:v>Likely relevant</x:v>
      </x:c>
      <x:c r="Q112" s="19" t="str">
        <x:v>No</x:v>
      </x:c>
      <x:c r="R112" s="19" t="str">
        <x:v>Keep post; no comments</x:v>
      </x:c>
      <x:c r="S112" s="19" t="str">
        <x:v>No</x:v>
      </x:c>
      <x:c r="T112" s="22" t="str">
        <x:v>The post explicitly names/tags American Apparel or an identified AA product/style.</x:v>
      </x:c>
    </x:row>
    <x:row r="113">
      <x:c r="A113" s="9" t="str">
        <x:v>Instagram</x:v>
      </x:c>
      <x:c r="B113" s="10" t="str">
        <x:v>IG mention</x:v>
      </x:c>
      <x:c r="C113" s="10" t="str">
        <x:v>3918393332191009992</x:v>
      </x:c>
      <x:c r="D113" s="16" t="n">
        <x:v>46186.232719907406</x:v>
      </x:c>
      <x:c r="E113" s="10" t="str">
        <x:v>jinswardrobe</x:v>
      </x:c>
      <x:c r="F113" s="10" t="str">
        <x:v>Sidecar</x:v>
      </x:c>
      <x:c r="G113" s="19" t="str">
        <x:v>260613 Sat (☀️ 19℃ / 31℃ 💙) Cap : Mighty Shine Glasses : 80's US Army Shirts : Kapital Top : American Apparel Neckless : 50's Native American Jewerly Pants : 80's Giorgio Armani Shoes : Crockett &amp; Jones Watch : 90's Cartier Bag : My wife made it Scarf : Polo Ralph Lauren #mensfashion #vintage #vintagefashion</x:v>
      </x:c>
      <x:c r="H113" s="19" t="str">
        <x:v>#mensfashion #vintage #vintagefashion</x:v>
      </x:c>
      <x:c r="I113" s="19" t="str">
        <x:v>@ralphlauren @americanapparel @kapitalglobal @cartier @crockettandjones_official @mightyshine_official @frame_montana @giorgioarmani</x:v>
      </x:c>
      <x:c r="J113" s="25" t="n">
        <x:v>0</x:v>
      </x:c>
      <x:c r="K113" s="25" t="n">
        <x:v>135</x:v>
      </x:c>
      <x:c r="L113" s="25" t="n">
        <x:v>0</x:v>
      </x:c>
      <x:c r="M113" s="25" t="n">
        <x:v>0</x:v>
      </x:c>
      <x:c r="N113" s="19" t="str">
        <x:v>https://www.instagram.com/p/DZg7fmfgRzI/</x:v>
      </x:c>
      <x:c r="O113" s="19" t="str"/>
      <x:c r="P113" s="19" t="str">
        <x:v>Likely relevant</x:v>
      </x:c>
      <x:c r="Q113" s="19" t="str">
        <x:v>No</x:v>
      </x:c>
      <x:c r="R113" s="19" t="str">
        <x:v>Keep post; no comments</x:v>
      </x:c>
      <x:c r="S113" s="19" t="str">
        <x:v>No</x:v>
      </x:c>
      <x:c r="T113" s="22" t="str">
        <x:v>The post explicitly names/tags American Apparel or an identified AA product/style.</x:v>
      </x:c>
    </x:row>
    <x:row r="114">
      <x:c r="A114" s="9" t="str">
        <x:v>Instagram</x:v>
      </x:c>
      <x:c r="B114" s="10" t="str">
        <x:v>IG hashtag</x:v>
      </x:c>
      <x:c r="C114" s="10" t="str">
        <x:v>3918578929926137464</x:v>
      </x:c>
      <x:c r="D114" s="16" t="n">
        <x:v>46186.4887962963</x:v>
      </x:c>
      <x:c r="E114" s="10" t="str">
        <x:v>sixsensestudio.id</x:v>
      </x:c>
      <x:c r="F114" s="10" t="str">
        <x:v>Sidecar</x:v>
      </x:c>
      <x:c r="G114" s="19" t="str">
        <x:v>(AVAILABLE ) DESIGN FOR SALE🚨 Want this vibe for your brand? Slide to see other, then hit me on DM! [CODE: 004] • Exclusive for one buyer • All text can be changed • Colors can be changed • Digital Product, PNG/PSD Files #designforsales #clothingdesigner #graphicdesigner #americanapparel #streetweardesign</x:v>
      </x:c>
      <x:c r="H114" s="19" t="str">
        <x:v>#designforsales #clothingdesigner #graphicdesigner #americanapparel #streetweardesign</x:v>
      </x:c>
      <x:c r="I114" s="19" t="str"/>
      <x:c r="J114" s="25" t="n">
        <x:v>0</x:v>
      </x:c>
      <x:c r="K114" s="25" t="n">
        <x:v>5</x:v>
      </x:c>
      <x:c r="L114" s="25" t="n">
        <x:v>0</x:v>
      </x:c>
      <x:c r="M114" s="25" t="n">
        <x:v>0</x:v>
      </x:c>
      <x:c r="N114" s="19" t="str">
        <x:v>https://www.instagram.com/p/DZhlsZ2k-Z4/</x:v>
      </x:c>
      <x:c r="O114" s="19" t="str"/>
      <x:c r="P114" s="19" t="str">
        <x:v>Design-sale noise</x:v>
      </x:c>
      <x:c r="Q114" s="19" t="str">
        <x:v>No</x:v>
      </x:c>
      <x:c r="R114" s="19" t="str">
        <x:v>Skip</x:v>
      </x:c>
      <x:c r="S114" s="19" t="str">
        <x:v>No</x:v>
      </x:c>
      <x:c r="T114" s="22" t="str">
        <x:v>Design/mockup sale language; not consumer discussion of American Apparel.</x:v>
      </x:c>
    </x:row>
    <x:row r="115">
      <x:c r="A115" s="9" t="str">
        <x:v>Instagram</x:v>
      </x:c>
      <x:c r="B115" s="10" t="str">
        <x:v>IG hashtag</x:v>
      </x:c>
      <x:c r="C115" s="10" t="str">
        <x:v>3918653259938757694</x:v>
      </x:c>
      <x:c r="D115" s="16" t="n">
        <x:v>46186.59134259259</x:v>
      </x:c>
      <x:c r="E115" s="10" t="str">
        <x:v>sixsensestudio.id</x:v>
      </x:c>
      <x:c r="F115" s="10" t="str">
        <x:v>Sidecar</x:v>
      </x:c>
      <x:c r="G115" s="19" t="str">
        <x:v>(AVAILABLE ) DESIGN FOR SALE🚨 Want this vibe for your brand? Slide to see other, then hit me on DM! [CODE: 005] • Exclusive for one buyer • All text can be changed • Colors can be changed • Digital Product, PNG/PSD Files #designforsales #clothingdesigner #graphicdesigner #americanapparel #streetweardesign</x:v>
      </x:c>
      <x:c r="H115" s="19" t="str">
        <x:v>#designforsales #clothingdesigner #graphicdesigner #americanapparel #streetweardesign</x:v>
      </x:c>
      <x:c r="I115" s="19" t="str"/>
      <x:c r="J115" s="25" t="n">
        <x:v>0</x:v>
      </x:c>
      <x:c r="K115" s="25" t="n">
        <x:v>3</x:v>
      </x:c>
      <x:c r="L115" s="25" t="n">
        <x:v>0</x:v>
      </x:c>
      <x:c r="M115" s="25" t="n">
        <x:v>0</x:v>
      </x:c>
      <x:c r="N115" s="19" t="str">
        <x:v>https://www.instagram.com/p/DZh2mDEk3w-/</x:v>
      </x:c>
      <x:c r="O115" s="19" t="str"/>
      <x:c r="P115" s="19" t="str">
        <x:v>Design-sale noise</x:v>
      </x:c>
      <x:c r="Q115" s="19" t="str">
        <x:v>No</x:v>
      </x:c>
      <x:c r="R115" s="19" t="str">
        <x:v>Skip</x:v>
      </x:c>
      <x:c r="S115" s="19" t="str">
        <x:v>No</x:v>
      </x:c>
      <x:c r="T115" s="22" t="str">
        <x:v>Design/mockup sale language; not consumer discussion of American Apparel.</x:v>
      </x:c>
    </x:row>
    <x:row r="116">
      <x:c r="A116" s="9" t="str">
        <x:v>Instagram</x:v>
      </x:c>
      <x:c r="B116" s="10" t="str">
        <x:v>IG hashtag</x:v>
      </x:c>
      <x:c r="C116" s="10" t="str">
        <x:v>3919230223615551909</x:v>
      </x:c>
      <x:c r="D116" s="16" t="n">
        <x:v>46187.387407407405</x:v>
      </x:c>
      <x:c r="E116" s="10" t="str">
        <x:v>voidworks.usa</x:v>
      </x:c>
      <x:c r="F116" s="10" t="str">
        <x:v>Sidecar</x:v>
      </x:c>
      <x:c r="G116" s="19" t="str">
        <x:v>sold, thank you!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V011 #americanapparel #streetwear #clothing #unitedstates #clothingbrand</x:v>
      </x:c>
      <x:c r="H116" s="19" t="str">
        <x:v>#americanapparel #streetwear #clothing #unitedstates #clothingbrand</x:v>
      </x:c>
      <x:c r="I116" s="19" t="str"/>
      <x:c r="J116" s="25" t="n">
        <x:v>0</x:v>
      </x:c>
      <x:c r="K116" s="25" t="n">
        <x:v>1</x:v>
      </x:c>
      <x:c r="L116" s="25" t="n">
        <x:v>0</x:v>
      </x:c>
      <x:c r="M116" s="25" t="n">
        <x:v>0</x:v>
      </x:c>
      <x:c r="N116" s="19" t="str">
        <x:v>https://www.instagram.com/p/DZj5x-XlGml/</x:v>
      </x:c>
      <x:c r="O116" s="19" t="str"/>
      <x:c r="P116" s="19" t="str">
        <x:v>Design-sale noise</x:v>
      </x:c>
      <x:c r="Q116" s="19" t="str">
        <x:v>No</x:v>
      </x:c>
      <x:c r="R116" s="19" t="str">
        <x:v>Skip</x:v>
      </x:c>
      <x:c r="S116" s="19" t="str">
        <x:v>No</x:v>
      </x:c>
      <x:c r="T116" s="22" t="str">
        <x:v>Design/mockup sale language; not consumer discussion of American Apparel.</x:v>
      </x:c>
    </x:row>
    <x:row r="117">
      <x:c r="A117" s="9" t="str">
        <x:v>Instagram</x:v>
      </x:c>
      <x:c r="B117" s="10" t="str">
        <x:v>IG hashtag</x:v>
      </x:c>
      <x:c r="C117" s="10" t="str">
        <x:v>3919290721425932932</x:v>
      </x:c>
      <x:c r="D117" s="16" t="n">
        <x:v>46187.47087962963</x:v>
      </x:c>
      <x:c r="E117" s="10" t="str">
        <x:v>sixsensestudio.id</x:v>
      </x:c>
      <x:c r="F117" s="10" t="str">
        <x:v>Sidecar</x:v>
      </x:c>
      <x:c r="G117" s="19" t="str">
        <x:v>(AVAILABLE ) DESIGN FOR SALE🚨 Want this vibe for your brand? Slide to see other, then hit me on DM! [CODE: 006] • Exclusive for one buyer • All text can be changed • Colors can be changed • Digital Product, PNG/PSD Files #designforsales #clothingdesigner #graphicdesigner #americanapparel #streetweardesign</x:v>
      </x:c>
      <x:c r="H117" s="19" t="str">
        <x:v>#designforsales #clothingdesigner #graphicdesigner #americanapparel #streetweardesign</x:v>
      </x:c>
      <x:c r="I117" s="19" t="str"/>
      <x:c r="J117" s="25" t="n">
        <x:v>0</x:v>
      </x:c>
      <x:c r="K117" s="25" t="n">
        <x:v>8</x:v>
      </x:c>
      <x:c r="L117" s="25" t="n">
        <x:v>0</x:v>
      </x:c>
      <x:c r="M117" s="25" t="n">
        <x:v>0</x:v>
      </x:c>
      <x:c r="N117" s="19" t="str">
        <x:v>https://www.instagram.com/p/DZkHiVWE8KE/</x:v>
      </x:c>
      <x:c r="O117" s="19" t="str"/>
      <x:c r="P117" s="19" t="str">
        <x:v>Design-sale noise</x:v>
      </x:c>
      <x:c r="Q117" s="19" t="str">
        <x:v>No</x:v>
      </x:c>
      <x:c r="R117" s="19" t="str">
        <x:v>Skip</x:v>
      </x:c>
      <x:c r="S117" s="19" t="str">
        <x:v>No</x:v>
      </x:c>
      <x:c r="T117" s="22" t="str">
        <x:v>Design/mockup sale language; not consumer discussion of American Apparel.</x:v>
      </x:c>
    </x:row>
    <x:row r="118">
      <x:c r="A118" s="9" t="str">
        <x:v>Instagram</x:v>
      </x:c>
      <x:c r="B118" s="10" t="str">
        <x:v>IG hashtag</x:v>
      </x:c>
      <x:c r="C118" s="10" t="str">
        <x:v>3919335495696009660</x:v>
      </x:c>
      <x:c r="D118" s="16" t="n">
        <x:v>46187.53265046296</x:v>
      </x:c>
      <x:c r="E118" s="10" t="str">
        <x:v>american_attire_formen</x:v>
      </x:c>
      <x:c r="F118" s="10" t="str">
        <x:v>Sidecar</x:v>
      </x:c>
      <x:c r="G118" s="19" t="str">
        <x:v>🖤 Power isn’t spoken. It’s worn. ⚜️ Step into a world where premium fashion meets timeless confidence. From everyday essentials to statement pieces, every collection is curated for those who lead, not follow. ✨ Imported Collection ✨ Premium Quality ✨ Luxury Fits ✨ Exclusive Styles 📍 American Apparel for Men Mota Varacha, Surat, Gujarat 🛍️ Visit our store &amp; upgrade your wardrobe with the latest premium arrivals. 📲 DM us for sizes, availability &amp; styling assistance. #AmericanApparel #AmericanApparelForMen #SuratFashion #MotaVaracha #LuxuryMenswear PremiumFashion ImportedCollection MensStyle StreetLuxury OldMoneyStyle FashionReels ExclusiveCollection LuxuryLifestyle StyleWithConfidence TrendingNow OOTDMen MensWearIndia ShopNow StayClassy WearTheDifferenc</x:v>
      </x:c>
      <x:c r="H118" s="19" t="str">
        <x:v>#AmericanApparel #AmericanApparelForMen #SuratFashion #MotaVaracha #LuxuryMenswear</x:v>
      </x:c>
      <x:c r="I118" s="19" t="str"/>
      <x:c r="J118" s="25" t="n">
        <x:v>0</x:v>
      </x:c>
      <x:c r="K118" s="25" t="n">
        <x:v>59</x:v>
      </x:c>
      <x:c r="L118" s="25" t="n">
        <x:v>0</x:v>
      </x:c>
      <x:c r="M118" s="25" t="n">
        <x:v>0</x:v>
      </x:c>
      <x:c r="N118" s="19" t="str">
        <x:v>https://www.instagram.com/p/DZkRt4oikm8/</x:v>
      </x:c>
      <x:c r="O118" s="19" t="str"/>
      <x:c r="P118" s="19" t="str">
        <x:v>Likely relevant</x:v>
      </x:c>
      <x:c r="Q118" s="19" t="str">
        <x:v>No</x:v>
      </x:c>
      <x:c r="R118" s="19" t="str">
        <x:v>Keep post; no comments</x:v>
      </x:c>
      <x:c r="S118" s="19" t="str">
        <x:v>No</x:v>
      </x:c>
      <x:c r="T118" s="22" t="str">
        <x:v>The post explicitly names/tags American Apparel or an identified AA product/style.</x:v>
      </x:c>
    </x:row>
    <x:row r="119">
      <x:c r="A119" s="9" t="str">
        <x:v>Instagram</x:v>
      </x:c>
      <x:c r="B119" s="10" t="str">
        <x:v>IG mention + IG hashtag</x:v>
      </x:c>
      <x:c r="C119" s="10" t="str">
        <x:v>3919401776092931963</x:v>
      </x:c>
      <x:c r="D119" s="16" t="n">
        <x:v>46187.62409722222</x:v>
      </x:c>
      <x:c r="E119" s="10" t="str">
        <x:v>peepshow.me</x:v>
      </x:c>
      <x:c r="F119" s="10" t="str">
        <x:v>Sidecar</x:v>
      </x:c>
      <x:c r="G119" s="19" t="str">
        <x:v>Mellow Yellow &amp; Ready ... 💛🇬🇷 #americanapparel #mirrormirror #aaselfie #ootn #peepshowme</x:v>
      </x:c>
      <x:c r="H119" s="19" t="str">
        <x:v>#americanapparel #mirrormirror #aaselfie #ootn #peepshowme</x:v>
      </x:c>
      <x:c r="I119" s="19" t="str">
        <x:v>@americanapparel</x:v>
      </x:c>
      <x:c r="J119" s="25" t="n">
        <x:v>0</x:v>
      </x:c>
      <x:c r="K119" s="25" t="n">
        <x:v>8</x:v>
      </x:c>
      <x:c r="L119" s="25" t="n">
        <x:v>0</x:v>
      </x:c>
      <x:c r="M119" s="25" t="n">
        <x:v>0</x:v>
      </x:c>
      <x:c r="N119" s="19" t="str">
        <x:v>https://www.instagram.com/p/DZkgyZEDed7/</x:v>
      </x:c>
      <x:c r="O119" s="19" t="str"/>
      <x:c r="P119" s="19" t="str">
        <x:v>Likely relevant</x:v>
      </x:c>
      <x:c r="Q119" s="19" t="str">
        <x:v>No</x:v>
      </x:c>
      <x:c r="R119" s="19" t="str">
        <x:v>Keep post; no comments</x:v>
      </x:c>
      <x:c r="S119" s="19" t="str">
        <x:v>No</x:v>
      </x:c>
      <x:c r="T119" s="22" t="str">
        <x:v>The post explicitly names/tags American Apparel or an identified AA product/style.</x:v>
      </x:c>
    </x:row>
    <x:row r="120">
      <x:c r="A120" s="9" t="str">
        <x:v>Instagram</x:v>
      </x:c>
      <x:c r="B120" s="10" t="str">
        <x:v>IG mention</x:v>
      </x:c>
      <x:c r="C120" s="10" t="str">
        <x:v>3919402294316638559</x:v>
      </x:c>
      <x:c r="D120" s="16" t="n">
        <x:v>46187.624814814815</x:v>
      </x:c>
      <x:c r="E120" s="10" t="str">
        <x:v>whereareyouservice</x:v>
      </x:c>
      <x:c r="F120" s="10" t="str">
        <x:v>Sidecar</x:v>
      </x:c>
      <x:c r="G120" s="19" t="str">
        <x:v>where are you #aa#americanapparel</x:v>
      </x:c>
      <x:c r="H120" s="19" t="str">
        <x:v>#aa #americanapparel</x:v>
      </x:c>
      <x:c r="I120" s="19" t="str">
        <x:v>@americanapparel</x:v>
      </x:c>
      <x:c r="J120" s="25" t="n">
        <x:v>0</x:v>
      </x:c>
      <x:c r="K120" s="25" t="n">
        <x:v>1</x:v>
      </x:c>
      <x:c r="L120" s="25" t="n">
        <x:v>0</x:v>
      </x:c>
      <x:c r="M120" s="25" t="n">
        <x:v>0</x:v>
      </x:c>
      <x:c r="N120" s="19" t="str">
        <x:v>https://www.instagram.com/p/DZkg57smCFf/</x:v>
      </x:c>
      <x:c r="O120" s="19" t="str"/>
      <x:c r="P120" s="19" t="str">
        <x:v>Likely relevant</x:v>
      </x:c>
      <x:c r="Q120" s="19" t="str">
        <x:v>No</x:v>
      </x:c>
      <x:c r="R120" s="19" t="str">
        <x:v>Keep post; no comments</x:v>
      </x:c>
      <x:c r="S120" s="19" t="str">
        <x:v>No</x:v>
      </x:c>
      <x:c r="T120" s="22" t="str">
        <x:v>The post explicitly names/tags American Apparel or an identified AA product/style.</x:v>
      </x:c>
    </x:row>
    <x:row r="121">
      <x:c r="A121" s="9" t="str">
        <x:v>Instagram</x:v>
      </x:c>
      <x:c r="B121" s="10" t="str">
        <x:v>IG hashtag</x:v>
      </x:c>
      <x:c r="C121" s="10" t="str">
        <x:v>3919679742517661414</x:v>
      </x:c>
      <x:c r="D121" s="16" t="n">
        <x:v>46188.007627314815</x:v>
      </x:c>
      <x:c r="E121" s="10" t="str">
        <x:v>merakiheadwear</x:v>
      </x:c>
      <x:c r="F121" s="10" t="str">
        <x:v>Sidecar</x:v>
      </x:c>
      <x:c r="G121" s="19" t="str">
        <x:v>》Nothing but 🇺🇲 Red White and Blue 🇺🇲 for this Seventy Six headwear @roadiebike.co • • • #MerakiHeadwear #premiumwear #customhats #america #americanapparel</x:v>
      </x:c>
      <x:c r="H121" s="19" t="str">
        <x:v>#MerakiHeadwear #premiumwear #customhats #america #americanapparel</x:v>
      </x:c>
      <x:c r="I121" s="19" t="str">
        <x:v>@roadiebike.co</x:v>
      </x:c>
      <x:c r="J121" s="25" t="n">
        <x:v>0</x:v>
      </x:c>
      <x:c r="K121" s="25" t="n">
        <x:v>7</x:v>
      </x:c>
      <x:c r="L121" s="25" t="n">
        <x:v>0</x:v>
      </x:c>
      <x:c r="M121" s="25" t="n">
        <x:v>0</x:v>
      </x:c>
      <x:c r="N121" s="19" t="str">
        <x:v>https://www.instagram.com/p/DZlf_VeD07m/</x:v>
      </x:c>
      <x:c r="O121" s="19" t="str"/>
      <x:c r="P121" s="19" t="str">
        <x:v>Likely relevant</x:v>
      </x:c>
      <x:c r="Q121" s="19" t="str">
        <x:v>No</x:v>
      </x:c>
      <x:c r="R121" s="19" t="str">
        <x:v>Keep post; no comments</x:v>
      </x:c>
      <x:c r="S121" s="19" t="str">
        <x:v>No</x:v>
      </x:c>
      <x:c r="T121" s="22" t="str">
        <x:v>The post explicitly names/tags American Apparel or an identified AA product/style.</x:v>
      </x:c>
    </x:row>
    <x:row r="122">
      <x:c r="A122" s="9" t="str">
        <x:v>Instagram</x:v>
      </x:c>
      <x:c r="B122" s="10" t="str">
        <x:v>IG hashtag</x:v>
      </x:c>
      <x:c r="C122" s="10" t="str">
        <x:v>3920044398705120064</x:v>
      </x:c>
      <x:c r="D122" s="16" t="n">
        <x:v>46188.51075231482</x:v>
      </x:c>
      <x:c r="E122" s="10" t="str">
        <x:v>voidworks.usa</x:v>
      </x:c>
      <x:c r="F122" s="10" t="str">
        <x:v>Sidecar</x:v>
      </x:c>
      <x:c r="G122"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V012 #americanapparel #streetwear #clothing #unitedstates #clothingbrand</x:v>
      </x:c>
      <x:c r="H122" s="19" t="str">
        <x:v>#americanapparel #streetwear #clothing #unitedstates #clothingbrand</x:v>
      </x:c>
      <x:c r="I122" s="19" t="str"/>
      <x:c r="J122" s="25" t="n">
        <x:v>0</x:v>
      </x:c>
      <x:c r="K122" s="25" t="n">
        <x:v>1</x:v>
      </x:c>
      <x:c r="L122" s="25" t="n">
        <x:v>0</x:v>
      </x:c>
      <x:c r="M122" s="25" t="n">
        <x:v>0</x:v>
      </x:c>
      <x:c r="N122" s="19" t="str">
        <x:v>https://www.instagram.com/p/DZmy5yAlBNA/</x:v>
      </x:c>
      <x:c r="O122" s="19" t="str"/>
      <x:c r="P122" s="19" t="str">
        <x:v>Design-sale noise</x:v>
      </x:c>
      <x:c r="Q122" s="19" t="str">
        <x:v>No</x:v>
      </x:c>
      <x:c r="R122" s="19" t="str">
        <x:v>Skip</x:v>
      </x:c>
      <x:c r="S122" s="19" t="str">
        <x:v>No</x:v>
      </x:c>
      <x:c r="T122" s="22" t="str">
        <x:v>Design/mockup sale language; not consumer discussion of American Apparel.</x:v>
      </x:c>
    </x:row>
    <x:row r="123">
      <x:c r="A123" s="9" t="str">
        <x:v>Instagram</x:v>
      </x:c>
      <x:c r="B123" s="10" t="str">
        <x:v>IG hashtag</x:v>
      </x:c>
      <x:c r="C123" s="10" t="str">
        <x:v>3920046584256202888</x:v>
      </x:c>
      <x:c r="D123" s="16" t="n">
        <x:v>46188.513773148145</x:v>
      </x:c>
      <x:c r="E123" s="10" t="str">
        <x:v>sixsensestudio.id</x:v>
      </x:c>
      <x:c r="F123" s="10" t="str">
        <x:v>Sidecar</x:v>
      </x:c>
      <x:c r="G123" s="19" t="str">
        <x:v>(AVAILABLE ) DESIGN FOR SALE🚨 Want this vibe for your brand? Slide to see other, then hit me on DM! [CODE: 007] • Exclusive for one buyer • All text can be changed • Colors can be changed • Digital Product, PNG/PSD Files #designforsales #clothingdesigner #graphicdesigner #americanapparel #streetweardesign</x:v>
      </x:c>
      <x:c r="H123" s="19" t="str">
        <x:v>#designforsales #clothingdesigner #graphicdesigner #americanapparel #streetweardesign</x:v>
      </x:c>
      <x:c r="I123" s="19" t="str"/>
      <x:c r="J123" s="25" t="n">
        <x:v>0</x:v>
      </x:c>
      <x:c r="K123" s="25" t="n">
        <x:v>5</x:v>
      </x:c>
      <x:c r="L123" s="25" t="n">
        <x:v>0</x:v>
      </x:c>
      <x:c r="M123" s="25" t="n">
        <x:v>0</x:v>
      </x:c>
      <x:c r="N123" s="19" t="str">
        <x:v>https://www.instagram.com/p/DZmzZldkwiI/</x:v>
      </x:c>
      <x:c r="O123" s="19" t="str"/>
      <x:c r="P123" s="19" t="str">
        <x:v>Design-sale noise</x:v>
      </x:c>
      <x:c r="Q123" s="19" t="str">
        <x:v>No</x:v>
      </x:c>
      <x:c r="R123" s="19" t="str">
        <x:v>Skip</x:v>
      </x:c>
      <x:c r="S123" s="19" t="str">
        <x:v>No</x:v>
      </x:c>
      <x:c r="T123" s="22" t="str">
        <x:v>Design/mockup sale language; not consumer discussion of American Apparel.</x:v>
      </x:c>
    </x:row>
    <x:row r="124">
      <x:c r="A124" s="9" t="str">
        <x:v>Instagram</x:v>
      </x:c>
      <x:c r="B124" s="10" t="str">
        <x:v>IG mention</x:v>
      </x:c>
      <x:c r="C124" s="10" t="str">
        <x:v>3920204423872043199</x:v>
      </x:c>
      <x:c r="D124" s="16" t="n">
        <x:v>46188.73181712963</x:v>
      </x:c>
      <x:c r="E124" s="10" t="str">
        <x:v>happipigeon</x:v>
      </x:c>
      <x:c r="F124" s="10" t="str">
        <x:v>Video</x:v>
      </x:c>
      <x:c r="G124" s="19" t="str">
        <x:v>Get ’em while they’re hot this summer. Classic cotton and amazing quality apparel, with trendy fits and fresh new colors. The only thing missing now is your logo!😎🔥 Fully customizable merch. Comment “🐦” to get started! #printlocal</x:v>
      </x:c>
      <x:c r="H124" s="19" t="str">
        <x:v>#printlocal</x:v>
      </x:c>
      <x:c r="I124" s="19" t="str">
        <x:v>@bellacanvas @americanapparel @wynwoodbrewing @funkybuddhabrew @swarm @wellscoffees @seedcoffeehouse @coffee.clubcollective @wynwood_marketplace @thirdspacesmiami @livelifeinflow @sunshinecoffeeclub @sipandpickle @porfacoffee @coffeeandchillmiami @almamatcha @flowhousemiami @stanleystella_us @tortug</x:v>
      </x:c>
      <x:c r="J124" s="25" t="n">
        <x:v>0</x:v>
      </x:c>
      <x:c r="K124" s="25" t="n">
        <x:v>5</x:v>
      </x:c>
      <x:c r="L124" s="25" t="n">
        <x:v>0</x:v>
      </x:c>
      <x:c r="M124" s="25" t="n">
        <x:v>0</x:v>
      </x:c>
      <x:c r="N124" s="19" t="str">
        <x:v>https://www.instagram.com/p/DZnXSdDzti_/</x:v>
      </x:c>
      <x:c r="O124" s="19" t="str"/>
      <x:c r="P124" s="19" t="str">
        <x:v>Ambiguous / incidental</x:v>
      </x:c>
      <x:c r="Q124" s="19" t="str">
        <x:v>No</x:v>
      </x:c>
      <x:c r="R124" s="19" t="str">
        <x:v>Defer</x:v>
      </x:c>
      <x:c r="S124" s="19" t="str">
        <x:v>No</x:v>
      </x:c>
      <x:c r="T124" s="22" t="str">
        <x:v>The brand is discovered through a tag/mention but is not clearly the subject of the caption.</x:v>
      </x:c>
    </x:row>
    <x:row r="125">
      <x:c r="A125" s="9" t="str">
        <x:v>Instagram</x:v>
      </x:c>
      <x:c r="B125" s="10" t="str">
        <x:v>IG hashtag</x:v>
      </x:c>
      <x:c r="C125" s="10" t="str">
        <x:v>3920490256198302347</x:v>
      </x:c>
      <x:c r="D125" s="16" t="n">
        <x:v>46189.125914351855</x:v>
      </x:c>
      <x:c r="E125" s="10" t="str">
        <x:v>dressupbox_</x:v>
      </x:c>
      <x:c r="F125" s="10" t="str">
        <x:v>Sidecar</x:v>
      </x:c>
      <x:c r="G125" s="19" t="str">
        <x:v>Https://DressUpBoxApparel.Etsy.Com #250yearsofamerica #americanapparel #usa🇺🇸 #4thjuly #july4th2026🇺🇸💥❤️🇺🇸💙</x:v>
      </x:c>
      <x:c r="H125" s="19" t="str">
        <x:v>#250yearsofamerica #americanapparel #usa🇺🇸 #4thjuly #july4th2026🇺🇸💥❤️🇺🇸💙</x:v>
      </x:c>
      <x:c r="I125" s="19" t="str"/>
      <x:c r="J125" s="25" t="n">
        <x:v>0</x:v>
      </x:c>
      <x:c r="K125" s="25" t="n">
        <x:v>2</x:v>
      </x:c>
      <x:c r="L125" s="25" t="n">
        <x:v>0</x:v>
      </x:c>
      <x:c r="M125" s="25" t="n">
        <x:v>0</x:v>
      </x:c>
      <x:c r="N125" s="19" t="str">
        <x:v>https://www.instagram.com/p/DZoYR3KFHqL/</x:v>
      </x:c>
      <x:c r="O125" s="19" t="str"/>
      <x:c r="P125" s="19" t="str">
        <x:v>Likely relevant</x:v>
      </x:c>
      <x:c r="Q125" s="19" t="str">
        <x:v>No</x:v>
      </x:c>
      <x:c r="R125" s="19" t="str">
        <x:v>Keep post; no comments</x:v>
      </x:c>
      <x:c r="S125" s="19" t="str">
        <x:v>No</x:v>
      </x:c>
      <x:c r="T125" s="22" t="str">
        <x:v>The post explicitly names/tags American Apparel or an identified AA product/style.</x:v>
      </x:c>
    </x:row>
    <x:row r="126">
      <x:c r="A126" s="9" t="str">
        <x:v>Instagram</x:v>
      </x:c>
      <x:c r="B126" s="10" t="str">
        <x:v>IG hashtag</x:v>
      </x:c>
      <x:c r="C126" s="10" t="str">
        <x:v>3920800917935021361</x:v>
      </x:c>
      <x:c r="D126" s="16" t="n">
        <x:v>46189.55454861111</x:v>
      </x:c>
      <x:c r="E126" s="10" t="str">
        <x:v>american_attire_formen</x:v>
      </x:c>
      <x:c r="F126" s="10" t="str">
        <x:v>Sidecar</x:v>
      </x:c>
      <x:c r="G126" s="19" t="str">
        <x:v>371”} ✨ Elevate Your Style. Define Your Presence. Luxury isn’t just what you wear—it’s how you carry yourself. Discover premium imported shirts, oversized tees, trousers, jeans, cargos &amp; exclusive fashion collections curated for modern gentlemen. 📍 American Apparel 🏬 Mota Varacha, Surat 🛍️ Premium Men’s Fashion 📦 Online Orders Available 🚚 Pan India Shipping 💯 100% Original &amp; Premium Quality Visit today and upgrade your wardrobe with timeless style. #AmericanApparel #MensFashion #LuxuryStyle #PremiumWear #StreetLuxury ImportedFashion SuratFashion MotaVaracha OutfitGoals FashionReels OOTD LuxuryMenswear CasualLuxury TrendingStyle FashionInspo StyleForMen PremiumCollection ShopNow OnlineOrder ViralF</x:v>
      </x:c>
      <x:c r="H126" s="19" t="str">
        <x:v>#AmericanApparel #MensFashion #LuxuryStyle #PremiumWear #StreetLuxury</x:v>
      </x:c>
      <x:c r="I126" s="19" t="str"/>
      <x:c r="J126" s="25" t="n">
        <x:v>0</x:v>
      </x:c>
      <x:c r="K126" s="25" t="n">
        <x:v>64</x:v>
      </x:c>
      <x:c r="L126" s="25" t="n">
        <x:v>0</x:v>
      </x:c>
      <x:c r="M126" s="25" t="n">
        <x:v>0</x:v>
      </x:c>
      <x:c r="N126" s="19" t="str">
        <x:v>https://www.instagram.com/p/DZpe6lcit0x/</x:v>
      </x:c>
      <x:c r="O126" s="19" t="str"/>
      <x:c r="P126" s="19" t="str">
        <x:v>Likely relevant</x:v>
      </x:c>
      <x:c r="Q126" s="19" t="str">
        <x:v>No</x:v>
      </x:c>
      <x:c r="R126" s="19" t="str">
        <x:v>Keep post; no comments</x:v>
      </x:c>
      <x:c r="S126" s="19" t="str">
        <x:v>No</x:v>
      </x:c>
      <x:c r="T126" s="22" t="str">
        <x:v>The post explicitly names/tags American Apparel or an identified AA product/style.</x:v>
      </x:c>
    </x:row>
    <x:row r="127">
      <x:c r="A127" s="9" t="str">
        <x:v>Instagram</x:v>
      </x:c>
      <x:c r="B127" s="10" t="str">
        <x:v>IG hashtag</x:v>
      </x:c>
      <x:c r="C127" s="10" t="str">
        <x:v>3921532280295612205</x:v>
      </x:c>
      <x:c r="D127" s="16" t="n">
        <x:v>46190.56371527778</x:v>
      </x:c>
      <x:c r="E127" s="10" t="str">
        <x:v>bezirlane.std</x:v>
      </x:c>
      <x:c r="F127" s="10" t="str">
        <x:v>Image</x:v>
      </x:c>
      <x:c r="G127" s="19" t="str">
        <x:v>DESIGN AVAILABLE FOR SALE Tap in via DM to secure yours 🛒 • Fully customizable text &amp; color options • Premium graphic design ready for any garment • Delivered in high-resolution PNG &amp; PSD files • Trusted by multiple brands &amp; international clients • Open for custom logo, merch &amp; full branding requests Every design is made with quality and originality in mind. Displayed brand is only a sample — your own branding will be added after purchase. Appreciate everyone who continues to support and trust our work. 🖤 #streetwear #clothingbrand #graphicdesign #fashion #americanapparel</x:v>
      </x:c>
      <x:c r="H127" s="19" t="str">
        <x:v>#streetwear #clothingbrand #graphicdesign #fashion #americanapparel</x:v>
      </x:c>
      <x:c r="I127" s="19" t="str"/>
      <x:c r="J127" s="25" t="n">
        <x:v>0</x:v>
      </x:c>
      <x:c r="K127" s="25" t="n">
        <x:v>5</x:v>
      </x:c>
      <x:c r="L127" s="25" t="n">
        <x:v>0</x:v>
      </x:c>
      <x:c r="M127" s="25" t="n">
        <x:v>0</x:v>
      </x:c>
      <x:c r="N127" s="19" t="str">
        <x:v>https://www.instagram.com/p/DZsFNTuP18t/</x:v>
      </x:c>
      <x:c r="O127" s="19" t="str"/>
      <x:c r="P127" s="19" t="str">
        <x:v>Design-sale noise</x:v>
      </x:c>
      <x:c r="Q127" s="19" t="str">
        <x:v>No</x:v>
      </x:c>
      <x:c r="R127" s="19" t="str">
        <x:v>Skip</x:v>
      </x:c>
      <x:c r="S127" s="19" t="str">
        <x:v>No</x:v>
      </x:c>
      <x:c r="T127" s="22" t="str">
        <x:v>Design/mockup sale language; not consumer discussion of American Apparel.</x:v>
      </x:c>
    </x:row>
    <x:row r="128">
      <x:c r="A128" s="9" t="str">
        <x:v>Instagram</x:v>
      </x:c>
      <x:c r="B128" s="10" t="str">
        <x:v>IG hashtag</x:v>
      </x:c>
      <x:c r="C128" s="10" t="str">
        <x:v>3921628992915057366</x:v>
      </x:c>
      <x:c r="D128" s="16" t="n">
        <x:v>46190.697071759256</x:v>
      </x:c>
      <x:c r="E128" s="10" t="str">
        <x:v>sixsensestudio.id</x:v>
      </x:c>
      <x:c r="F128" s="10" t="str">
        <x:v>Sidecar</x:v>
      </x:c>
      <x:c r="G128" s="19" t="str">
        <x:v>(AVAILABLE ) DESIGN FOR SALE🚨 Want this vibe for your brand? Slide to see other, then hit me on DM! [CODE: 009] • Exclusive for one buyer • All text can be changed • Colors can be changed • Digital Product, PNG/PSD Files #designforsales #clothingdesigner #graphicdesigner #americanapparel #streetweardesign</x:v>
      </x:c>
      <x:c r="H128" s="19" t="str">
        <x:v>#designforsales #clothingdesigner #graphicdesigner #americanapparel #streetweardesign</x:v>
      </x:c>
      <x:c r="I128" s="19" t="str"/>
      <x:c r="J128" s="25" t="n">
        <x:v>0</x:v>
      </x:c>
      <x:c r="K128" s="25" t="n">
        <x:v>5</x:v>
      </x:c>
      <x:c r="L128" s="25" t="n">
        <x:v>0</x:v>
      </x:c>
      <x:c r="M128" s="25" t="n">
        <x:v>0</x:v>
      </x:c>
      <x:c r="N128" s="19" t="str">
        <x:v>https://www.instagram.com/p/DZsbMqXkyrW/</x:v>
      </x:c>
      <x:c r="O128" s="19" t="str"/>
      <x:c r="P128" s="19" t="str">
        <x:v>Design-sale noise</x:v>
      </x:c>
      <x:c r="Q128" s="19" t="str">
        <x:v>No</x:v>
      </x:c>
      <x:c r="R128" s="19" t="str">
        <x:v>Skip</x:v>
      </x:c>
      <x:c r="S128" s="19" t="str">
        <x:v>No</x:v>
      </x:c>
      <x:c r="T128" s="22" t="str">
        <x:v>Design/mockup sale language; not consumer discussion of American Apparel.</x:v>
      </x:c>
    </x:row>
    <x:row r="129">
      <x:c r="A129" s="9" t="str">
        <x:v>Instagram</x:v>
      </x:c>
      <x:c r="B129" s="10" t="str">
        <x:v>IG mention</x:v>
      </x:c>
      <x:c r="C129" s="10" t="str">
        <x:v>3921940367921744224</x:v>
      </x:c>
      <x:c r="D129" s="16" t="n">
        <x:v>46191.13621527778</x:v>
      </x:c>
      <x:c r="E129" s="10" t="str">
        <x:v>stephaniegallant_</x:v>
      </x:c>
      <x:c r="F129" s="10" t="str">
        <x:v>Video</x:v>
      </x:c>
      <x:c r="G129" s="19" t="str">
        <x:v>Motherhood is the best thing that’s ever happened to me- no doubt. But it’s not to say that finding myself hasn’t been a challenge somedays. A 5min makeup moment can help so much. Something about putting in that bit of self-care that makes a huge difference. It’s not always makeup- somedays it’s a hair mask, eating better, exercising. But this was my 5min of the day.💗 @rhode @merit @drbronner @littlewordsproject @anthropologie @supergoop @madewell @gap #motherhoodintheraw #postpartumhealth #motherhoodissanctifying #firsttimemommy #momjourney</x:v>
      </x:c>
      <x:c r="H129" s="19" t="str">
        <x:v>#motherhoodintheraw #postpartumhealth #motherhoodissanctifying #firsttimemommy #momjourney</x:v>
      </x:c>
      <x:c r="I129" s="19" t="str">
        <x:v>@rhode @merit @drbronner @littlewordsproject @anthropologie @supergoop @madewell @gap</x:v>
      </x:c>
      <x:c r="J129" s="25" t="n">
        <x:v>0</x:v>
      </x:c>
      <x:c r="K129" s="25" t="n">
        <x:v>-1</x:v>
      </x:c>
      <x:c r="L129" s="25" t="n">
        <x:v>0</x:v>
      </x:c>
      <x:c r="M129" s="25" t="n">
        <x:v>0</x:v>
      </x:c>
      <x:c r="N129" s="19" t="str">
        <x:v>https://www.instagram.com/p/DZth_w8PYlg/</x:v>
      </x:c>
      <x:c r="O129" s="19" t="str"/>
      <x:c r="P129" s="19" t="str">
        <x:v>Ambiguous / incidental</x:v>
      </x:c>
      <x:c r="Q129" s="19" t="str">
        <x:v>No</x:v>
      </x:c>
      <x:c r="R129" s="19" t="str">
        <x:v>Defer</x:v>
      </x:c>
      <x:c r="S129" s="19" t="str">
        <x:v>No</x:v>
      </x:c>
      <x:c r="T129" s="22" t="str">
        <x:v>The brand is discovered through a tag/mention but is not clearly the subject of the caption.</x:v>
      </x:c>
    </x:row>
    <x:row r="130">
      <x:c r="A130" s="9" t="str">
        <x:v>Instagram</x:v>
      </x:c>
      <x:c r="B130" s="10" t="str">
        <x:v>IG hashtag</x:v>
      </x:c>
      <x:c r="C130" s="10" t="str">
        <x:v>3922218027403880360</x:v>
      </x:c>
      <x:c r="D130" s="16" t="n">
        <x:v>46191.50981481482</x:v>
      </x:c>
      <x:c r="E130" s="10" t="str">
        <x:v>ezyt.thailand</x:v>
      </x:c>
      <x:c r="F130" s="10" t="str">
        <x:v>Image</x:v>
      </x:c>
      <x:c r="G130" s="19" t="str">
        <x:v>มีบางอย่างที่คนรักวินเทจรู้กันดี ว่าเสื้อวินเทจที่แท้จริงไม่มีทางทำได้ในวันแรก มันต้องใช้เวลา และไม่มีกระบวนการไหนในโลกทำแทนได้ แต่คำถามที่พวกเราในฐานะคนรักวินเทจถามตัวเองมาตลอดคือ แล้วเราจะเปิดทางให้มันเกิดขึ้นอีกได้ยังไง? . คำตอบไม่ใช่การเร่ง แต่คือการวางรากฐานให้ถูกต้องตั้งแต่ต้น ทุกการเคลื่อนไหว ทุกการซัก สามารถทิ้งร่องรอยลงบนผืนผ้าได้จริง มันจึงไม่ใช่เสื้อที่พยายามเป็นวินเทจตั้งแต่วันแรก แต่คือเสื้อที่เข้าใจว่าเสื้อวินเทจทุกตัวในโลก ล้วนเคยเป็นเสื้อใหม่มาก่อน . เหมือนสมุดบันทึกเล่มใหม่ที่ไม่ได้ซื้อมาเพราะมีเรื่องราวเขียนไว้อยู่แล้ว แต่ซื้อเพราะมันพร้อมจะรับเรื่องราว ทุกการสวมใส่ ทุกวันที่ผ่านไป คือการจารึกบางอย่างลงบนผืนผ้าโดยที่ไม่รู้ตัว . และนั่นคือ New Vintage ในแบบที่เราเชื่อ ไม่ใช่การย้อนกลับไปหาของเก่า แต่คือการเริ่มต้นบางอย่างในวันนี้ “ไทม์ สเตจ” คือเสื้อที่เราสร้างขึ้นจากความเชื่อนั้น ไม่ได้ถูกทำให้ดูเก่า แต่ถูกสร้างมาให้พร้อมรับทุกร่องรอยและเติบโตไปพร้อมกับคนที่ใส่มัน จนกลายเป็นของคนคนนั้นอย่างแท้จริง #AmericanApparel #vintagestyle #streetwearculture #ezytthailand</x:v>
      </x:c>
      <x:c r="H130" s="19" t="str">
        <x:v>#AmericanApparel #vintagestyle #streetwearculture #ezytthailand</x:v>
      </x:c>
      <x:c r="I130" s="19" t="str"/>
      <x:c r="J130" s="25" t="n">
        <x:v>0</x:v>
      </x:c>
      <x:c r="K130" s="25" t="n">
        <x:v>2</x:v>
      </x:c>
      <x:c r="L130" s="25" t="n">
        <x:v>0</x:v>
      </x:c>
      <x:c r="M130" s="25" t="n">
        <x:v>0</x:v>
      </x:c>
      <x:c r="N130" s="19" t="str">
        <x:v>https://www.instagram.com/p/DZuhIPfCqeo/</x:v>
      </x:c>
      <x:c r="O130" s="19" t="str"/>
      <x:c r="P130" s="19" t="str">
        <x:v>Likely relevant</x:v>
      </x:c>
      <x:c r="Q130" s="19" t="str">
        <x:v>No</x:v>
      </x:c>
      <x:c r="R130" s="19" t="str">
        <x:v>Keep post; no comments</x:v>
      </x:c>
      <x:c r="S130" s="19" t="str">
        <x:v>No</x:v>
      </x:c>
      <x:c r="T130" s="22" t="str">
        <x:v>The post explicitly names/tags American Apparel or an identified AA product/style.</x:v>
      </x:c>
    </x:row>
    <x:row r="131">
      <x:c r="A131" s="9" t="str">
        <x:v>Instagram</x:v>
      </x:c>
      <x:c r="B131" s="10" t="str">
        <x:v>IG hashtag</x:v>
      </x:c>
      <x:c r="C131" s="10" t="str">
        <x:v>3922275919184993682</x:v>
      </x:c>
      <x:c r="D131" s="16" t="n">
        <x:v>46191.58980324074</x:v>
      </x:c>
      <x:c r="E131" s="10" t="str">
        <x:v>rite.dealz</x:v>
      </x:c>
      <x:c r="F131" s="10" t="str">
        <x:v>Image</x:v>
      </x:c>
      <x:c r="G131" s="19" t="str">
        <x:v>All-American Vibes Plus V-Neck Tee Bold, Comfy &amp; Proudly Patriotic, the soft tee that turns porch hangs into a whole aesthetic, low-key iconic 🇺🇸✨ Click the link in our bio to shop now! 🛍️ #PatrioticFashion #AmericanApparel #VNeckTee #AllAmerican #PorchStyle #CasualWear #PatriotApparel</x:v>
      </x:c>
      <x:c r="H131" s="19" t="str">
        <x:v>#PatrioticFashion #AmericanApparel #VNeckTee #AllAmerican #PorchStyle #CasualWear #PatriotApparel</x:v>
      </x:c>
      <x:c r="I131" s="19" t="str"/>
      <x:c r="J131" s="25" t="n">
        <x:v>0</x:v>
      </x:c>
      <x:c r="K131" s="25" t="n">
        <x:v>1</x:v>
      </x:c>
      <x:c r="L131" s="25" t="n">
        <x:v>0</x:v>
      </x:c>
      <x:c r="M131" s="25" t="n">
        <x:v>0</x:v>
      </x:c>
      <x:c r="N131" s="19" t="str">
        <x:v>https://www.instagram.com/p/DZuuSraFx2S/</x:v>
      </x:c>
      <x:c r="O131" s="19" t="str"/>
      <x:c r="P131" s="19" t="str">
        <x:v>Likely relevant</x:v>
      </x:c>
      <x:c r="Q131" s="19" t="str">
        <x:v>No</x:v>
      </x:c>
      <x:c r="R131" s="19" t="str">
        <x:v>Keep post; no comments</x:v>
      </x:c>
      <x:c r="S131" s="19" t="str">
        <x:v>No</x:v>
      </x:c>
      <x:c r="T131" s="22" t="str">
        <x:v>The post explicitly names/tags American Apparel or an identified AA product/style.</x:v>
      </x:c>
    </x:row>
    <x:row r="132">
      <x:c r="A132" s="9" t="str">
        <x:v>Instagram</x:v>
      </x:c>
      <x:c r="B132" s="10" t="str">
        <x:v>IG hashtag</x:v>
      </x:c>
      <x:c r="C132" s="10" t="str">
        <x:v>3922322999047664151</x:v>
      </x:c>
      <x:c r="D132" s="16" t="n">
        <x:v>46191.65461805555</x:v>
      </x:c>
      <x:c r="E132" s="10" t="str">
        <x:v>godin.jpg</x:v>
      </x:c>
      <x:c r="F132" s="10" t="str">
        <x:v>Sidecar</x:v>
      </x:c>
      <x:c r="G132"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132" s="19" t="str">
        <x:v>#designforsale #clothingbrand #designs #streetwearbrand #streetwear #streetweardesigner #usastreetwear #americanapparel #urbanfashion #fashiondesigners</x:v>
      </x:c>
      <x:c r="I132" s="19" t="str"/>
      <x:c r="J132" s="25" t="n">
        <x:v>0</x:v>
      </x:c>
      <x:c r="K132" s="25" t="n">
        <x:v>2</x:v>
      </x:c>
      <x:c r="L132" s="25" t="n">
        <x:v>0</x:v>
      </x:c>
      <x:c r="M132" s="25" t="n">
        <x:v>0</x:v>
      </x:c>
      <x:c r="N132" s="19" t="str">
        <x:v>https://www.instagram.com/p/DZu4_x8lLIX/</x:v>
      </x:c>
      <x:c r="O132" s="19" t="str"/>
      <x:c r="P132" s="19" t="str">
        <x:v>Design-sale noise</x:v>
      </x:c>
      <x:c r="Q132" s="19" t="str">
        <x:v>No</x:v>
      </x:c>
      <x:c r="R132" s="19" t="str">
        <x:v>Skip</x:v>
      </x:c>
      <x:c r="S132" s="19" t="str">
        <x:v>No</x:v>
      </x:c>
      <x:c r="T132" s="22" t="str">
        <x:v>Design/mockup sale language; not consumer discussion of American Apparel.</x:v>
      </x:c>
    </x:row>
    <x:row r="133">
      <x:c r="A133" s="9" t="str">
        <x:v>Instagram</x:v>
      </x:c>
      <x:c r="B133" s="10" t="str">
        <x:v>IG hashtag</x:v>
      </x:c>
      <x:c r="C133" s="10" t="str">
        <x:v>3922347078697791736</x:v>
      </x:c>
      <x:c r="D133" s="16" t="n">
        <x:v>46191.68784722222</x:v>
      </x:c>
      <x:c r="E133" s="10" t="str">
        <x:v>stacklaren</x:v>
      </x:c>
      <x:c r="F133" s="10" t="str">
        <x:v>Sidecar</x:v>
      </x:c>
      <x:c r="G133" s="19" t="str">
        <x:v>Sold, thank you. Custom/commission open (limited). #usstreetwear #ukstreetwear #clothingbrand #americanapparel #designforsale (10)</x:v>
      </x:c>
      <x:c r="H133" s="19" t="str">
        <x:v>#usstreetwear #ukstreetwear #clothingbrand #americanapparel #designforsale</x:v>
      </x:c>
      <x:c r="I133" s="19" t="str"/>
      <x:c r="J133" s="25" t="n">
        <x:v>0</x:v>
      </x:c>
      <x:c r="K133" s="25" t="n">
        <x:v>-1</x:v>
      </x:c>
      <x:c r="L133" s="25" t="n">
        <x:v>0</x:v>
      </x:c>
      <x:c r="M133" s="25" t="n">
        <x:v>0</x:v>
      </x:c>
      <x:c r="N133" s="19" t="str">
        <x:v>https://www.instagram.com/p/DZu-eL3krD4/</x:v>
      </x:c>
      <x:c r="O133" s="19" t="str"/>
      <x:c r="P133" s="19" t="str">
        <x:v>Design-sale noise</x:v>
      </x:c>
      <x:c r="Q133" s="19" t="str">
        <x:v>No</x:v>
      </x:c>
      <x:c r="R133" s="19" t="str">
        <x:v>Skip</x:v>
      </x:c>
      <x:c r="S133" s="19" t="str">
        <x:v>No</x:v>
      </x:c>
      <x:c r="T133" s="22" t="str">
        <x:v>Design/mockup sale language; not consumer discussion of American Apparel.</x:v>
      </x:c>
    </x:row>
    <x:row r="134">
      <x:c r="A134" s="9" t="str">
        <x:v>Instagram</x:v>
      </x:c>
      <x:c r="B134" s="10" t="str">
        <x:v>IG mention</x:v>
      </x:c>
      <x:c r="C134" s="10" t="str">
        <x:v>3922739313221699528</x:v>
      </x:c>
      <x:c r="D134" s="16" t="n">
        <x:v>46192.22902777778</x:v>
      </x:c>
      <x:c r="E134" s="10" t="str">
        <x:v>honey_fits</x:v>
      </x:c>
      <x:c r="F134" s="10" t="str">
        <x:v>Sidecar</x:v>
      </x:c>
      <x:c r="G134" s="19" t="str">
        <x:v>@awesomeactioncat_ 15 de junio de 2026⊹₊⟡⋆ ⊹₊⟡⋆ ¿que es?⊹₊⟡⋆ Claudine bodysuit de @lecoledesfemmes ($149.00 USD) High wasted denim shorts de @americanapparel (no disponible) Ballerinas Camille de @repettoparis ($9,150.00 MXN) Funda para iPhone 16 plus de @wildflowercases ($37.00 USD) ⊹₊⟡⋆</x:v>
      </x:c>
      <x:c r="H134" s="19" t="str"/>
      <x:c r="I134" s="19" t="str">
        <x:v>@awesomeactioncat_ @lecoledesfemmes @americanapparel @repettoparis @wildflowercases</x:v>
      </x:c>
      <x:c r="J134" s="25" t="n">
        <x:v>0</x:v>
      </x:c>
      <x:c r="K134" s="25" t="n">
        <x:v>120</x:v>
      </x:c>
      <x:c r="L134" s="25" t="n">
        <x:v>0</x:v>
      </x:c>
      <x:c r="M134" s="25" t="n">
        <x:v>0</x:v>
      </x:c>
      <x:c r="N134" s="19" t="str">
        <x:v>https://www.instagram.com/p/DZwXp8vCgfI/</x:v>
      </x:c>
      <x:c r="O134" s="19" t="str"/>
      <x:c r="P134" s="19" t="str">
        <x:v>Likely relevant</x:v>
      </x:c>
      <x:c r="Q134" s="19" t="str">
        <x:v>No</x:v>
      </x:c>
      <x:c r="R134" s="19" t="str">
        <x:v>Keep post; no comments</x:v>
      </x:c>
      <x:c r="S134" s="19" t="str">
        <x:v>No</x:v>
      </x:c>
      <x:c r="T134" s="22" t="str">
        <x:v>The post explicitly names/tags American Apparel or an identified AA product/style.</x:v>
      </x:c>
    </x:row>
    <x:row r="135">
      <x:c r="A135" s="9" t="str">
        <x:v>Instagram</x:v>
      </x:c>
      <x:c r="B135" s="10" t="str">
        <x:v>IG hashtag</x:v>
      </x:c>
      <x:c r="C135" s="10" t="str">
        <x:v>3922931596601236617</x:v>
      </x:c>
      <x:c r="D135" s="16" t="n">
        <x:v>46192.4943287037</x:v>
      </x:c>
      <x:c r="E135" s="10" t="str">
        <x:v>stacklaren</x:v>
      </x:c>
      <x:c r="F135" s="10" t="str">
        <x:v>Sidecar</x:v>
      </x:c>
      <x:c r="G135" s="19" t="str">
        <x:v>Design available for sale. DM for inquiries and orders. - Text and colors can be customized. - Can be presented with a different mockup. - Delivered as high-res PSD and PNG files. - Open for custom work. Payments are processed via PayPal invoice. Available payment methods may vary depending on your region. #usstreetwear #ukstreetwear #clothingbrand #americanapparel #designforsale (11)</x:v>
      </x:c>
      <x:c r="H135" s="19" t="str">
        <x:v>#usstreetwear #ukstreetwear #clothingbrand #americanapparel #designforsale</x:v>
      </x:c>
      <x:c r="I135" s="19" t="str"/>
      <x:c r="J135" s="25" t="n">
        <x:v>0</x:v>
      </x:c>
      <x:c r="K135" s="25" t="n">
        <x:v>-1</x:v>
      </x:c>
      <x:c r="L135" s="25" t="n">
        <x:v>0</x:v>
      </x:c>
      <x:c r="M135" s="25" t="n">
        <x:v>0</x:v>
      </x:c>
      <x:c r="N135" s="19" t="str">
        <x:v>https://www.instagram.com/p/DZxDYClkpyJ/</x:v>
      </x:c>
      <x:c r="O135" s="19" t="str"/>
      <x:c r="P135" s="19" t="str">
        <x:v>Design-sale noise</x:v>
      </x:c>
      <x:c r="Q135" s="19" t="str">
        <x:v>No</x:v>
      </x:c>
      <x:c r="R135" s="19" t="str">
        <x:v>Skip</x:v>
      </x:c>
      <x:c r="S135" s="19" t="str">
        <x:v>No</x:v>
      </x:c>
      <x:c r="T135" s="22" t="str">
        <x:v>Design/mockup sale language; not consumer discussion of American Apparel.</x:v>
      </x:c>
    </x:row>
    <x:row r="136">
      <x:c r="A136" s="9" t="str">
        <x:v>Instagram</x:v>
      </x:c>
      <x:c r="B136" s="10" t="str">
        <x:v>IG hashtag</x:v>
      </x:c>
      <x:c r="C136" s="10" t="str">
        <x:v>3922987739012986907</x:v>
      </x:c>
      <x:c r="D136" s="16" t="n">
        <x:v>46192.57179398148</x:v>
      </x:c>
      <x:c r="E136" s="10" t="str">
        <x:v>andysdisaster</x:v>
      </x:c>
      <x:c r="F136" s="10" t="str">
        <x:v>Sidecar</x:v>
      </x:c>
      <x:c r="G136" s="19" t="str">
        <x:v>Premade Graphic Design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136" s="19" t="str">
        <x:v>#americanapparel #streetwear #clothing #unitedstates #clothingbrand</x:v>
      </x:c>
      <x:c r="I136" s="19" t="str"/>
      <x:c r="J136" s="25" t="n">
        <x:v>0</x:v>
      </x:c>
      <x:c r="K136" s="25" t="n">
        <x:v>35</x:v>
      </x:c>
      <x:c r="L136" s="25" t="n">
        <x:v>0</x:v>
      </x:c>
      <x:c r="M136" s="25" t="n">
        <x:v>0</x:v>
      </x:c>
      <x:c r="N136" s="19" t="str">
        <x:v>https://www.instagram.com/p/DZxQJBSFPgb/</x:v>
      </x:c>
      <x:c r="O136" s="19" t="str"/>
      <x:c r="P136" s="19" t="str">
        <x:v>Design-sale noise</x:v>
      </x:c>
      <x:c r="Q136" s="19" t="str">
        <x:v>No</x:v>
      </x:c>
      <x:c r="R136" s="19" t="str">
        <x:v>Skip</x:v>
      </x:c>
      <x:c r="S136" s="19" t="str">
        <x:v>No</x:v>
      </x:c>
      <x:c r="T136" s="22" t="str">
        <x:v>Design/mockup sale language; not consumer discussion of American Apparel.</x:v>
      </x:c>
    </x:row>
    <x:row r="137">
      <x:c r="A137" s="9" t="str">
        <x:v>Instagram</x:v>
      </x:c>
      <x:c r="B137" s="10" t="str">
        <x:v>IG hashtag</x:v>
      </x:c>
      <x:c r="C137" s="10" t="str">
        <x:v>3922994696331004757</x:v>
      </x:c>
      <x:c r="D137" s="16" t="n">
        <x:v>46192.58138888889</x:v>
      </x:c>
      <x:c r="E137" s="10" t="str">
        <x:v>starinternational13</x:v>
      </x:c>
      <x:c r="F137" s="10" t="str">
        <x:v>Image</x:v>
      </x:c>
      <x:c r="G137" s="19" t="str">
        <x:v>🔥 Friday Special Offer! 🔥 Get 1 Custom Hoodie for only $20 with worldwide shipping available. ✅ 100% Guaranteed Premium Quality ✅ High-Quality Fabric &amp; Premium Finishing ✅ Custom Design Options Available ✅ Reliable Service &amp; Customer Support ✅ Worldwide Delivery 📦 Minimum Order Quantity: 30 Pieces Take advantage of this special Friday Offer and get premium-quality custom hoodies at an unbeatable price. Contact us today for more details and to place your order! 👕 Custom Hoodies | Premium Quality | Fast Worldwide Shipping 🚀 #UKApparel #UKFashion #UKManufacturer #UKClothingBrand #LondonFashion #BritishApparel #USAApparel #USAManufacturer #USFashion #AmericanApparel #CustomHoodiesUSA #CustomHoodiesUK #HoodieManufacturer #PrivateLabelManufacturer #ClothingManufacturer #WholesaleApparel #BulkHoodies #CustomClothing #PremiumQuality #WorldwideShipping</x:v>
      </x:c>
      <x:c r="H137" s="19" t="str">
        <x:v>#UKApparel #UKFashion #UKManufacturer #UKClothingBrand #LondonFashion #BritishApparel #USAApparel #USAManufacturer #USFashion #AmericanApparel #CustomHoodiesUSA #CustomHoodiesUK #HoodieManufacturer #PrivateLabelManufacturer #ClothingManufacturer #WholesaleApparel #BulkHoodies #CustomClothing #PremiumQuality #WorldwideShipping</x:v>
      </x:c>
      <x:c r="I137" s="19" t="str"/>
      <x:c r="J137" s="25" t="n">
        <x:v>0</x:v>
      </x:c>
      <x:c r="K137" s="25" t="n">
        <x:v>2</x:v>
      </x:c>
      <x:c r="L137" s="25" t="n">
        <x:v>0</x:v>
      </x:c>
      <x:c r="M137" s="25" t="n">
        <x:v>0</x:v>
      </x:c>
      <x:c r="N137" s="19" t="str">
        <x:v>https://www.instagram.com/p/DZxRuQyjQtV/</x:v>
      </x:c>
      <x:c r="O137" s="19" t="str">
        <x:v>Hoodie</x:v>
      </x:c>
      <x:c r="P137" s="19" t="str">
        <x:v>Likely relevant</x:v>
      </x:c>
      <x:c r="Q137" s="19" t="str">
        <x:v>No</x:v>
      </x:c>
      <x:c r="R137" s="19" t="str">
        <x:v>Keep post; no comments</x:v>
      </x:c>
      <x:c r="S137" s="19" t="str">
        <x:v>No</x:v>
      </x:c>
      <x:c r="T137" s="22" t="str">
        <x:v>The post explicitly names/tags American Apparel or an identified AA product/style.</x:v>
      </x:c>
    </x:row>
    <x:row r="138">
      <x:c r="A138" s="9" t="str">
        <x:v>Instagram</x:v>
      </x:c>
      <x:c r="B138" s="10" t="str">
        <x:v>IG hashtag</x:v>
      </x:c>
      <x:c r="C138" s="10" t="str">
        <x:v>3923071935144069488</x:v>
      </x:c>
      <x:c r="D138" s="16" t="n">
        <x:v>46192.687951388885</x:v>
      </x:c>
      <x:c r="E138" s="10" t="str">
        <x:v>jellycloset_</x:v>
      </x:c>
      <x:c r="F138" s="10" t="str">
        <x:v>Sidecar</x:v>
      </x:c>
      <x:c r="G138" s="19" t="str">
        <x:v>EGO Corset - Higuey / Punta Cana 📍Disponible #ropa #boutique #americanapparel #republicadominica</x:v>
      </x:c>
      <x:c r="H138" s="19" t="str">
        <x:v>#ropa #boutique #americanapparel #republicadominica</x:v>
      </x:c>
      <x:c r="I138" s="19" t="str"/>
      <x:c r="J138" s="25" t="n">
        <x:v>0</x:v>
      </x:c>
      <x:c r="K138" s="25" t="n">
        <x:v>2</x:v>
      </x:c>
      <x:c r="L138" s="25" t="n">
        <x:v>0</x:v>
      </x:c>
      <x:c r="M138" s="25" t="n">
        <x:v>0</x:v>
      </x:c>
      <x:c r="N138" s="19" t="str">
        <x:v>https://www.instagram.com/p/DZxjSPCkQlw/</x:v>
      </x:c>
      <x:c r="O138" s="19" t="str"/>
      <x:c r="P138" s="19" t="str">
        <x:v>Likely relevant</x:v>
      </x:c>
      <x:c r="Q138" s="19" t="str">
        <x:v>No</x:v>
      </x:c>
      <x:c r="R138" s="19" t="str">
        <x:v>Keep post; no comments</x:v>
      </x:c>
      <x:c r="S138" s="19" t="str">
        <x:v>No</x:v>
      </x:c>
      <x:c r="T138" s="22" t="str">
        <x:v>The post explicitly names/tags American Apparel or an identified AA product/style.</x:v>
      </x:c>
    </x:row>
    <x:row r="139">
      <x:c r="A139" s="9" t="str">
        <x:v>Instagram</x:v>
      </x:c>
      <x:c r="B139" s="10" t="str">
        <x:v>IG hashtag</x:v>
      </x:c>
      <x:c r="C139" s="10" t="str">
        <x:v>3923081232985017026</x:v>
      </x:c>
      <x:c r="D139" s="16" t="n">
        <x:v>46192.700787037036</x:v>
      </x:c>
      <x:c r="E139" s="10" t="str">
        <x:v>voidworks.usa</x:v>
      </x:c>
      <x:c r="F139" s="10" t="str">
        <x:v>Sidecar</x:v>
      </x:c>
      <x:c r="G139" s="19" t="str">
        <x:v>sold, thank you!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V015 #americanapparel #streetwear #clothing #unitedstates #clothingbrand</x:v>
      </x:c>
      <x:c r="H139" s="19" t="str">
        <x:v>#americanapparel #streetwear #clothing #unitedstates #clothingbrand</x:v>
      </x:c>
      <x:c r="I139" s="19" t="str"/>
      <x:c r="J139" s="25" t="n">
        <x:v>0</x:v>
      </x:c>
      <x:c r="K139" s="25" t="n">
        <x:v>1</x:v>
      </x:c>
      <x:c r="L139" s="25" t="n">
        <x:v>0</x:v>
      </x:c>
      <x:c r="M139" s="25" t="n">
        <x:v>0</x:v>
      </x:c>
      <x:c r="N139" s="19" t="str">
        <x:v>https://www.instagram.com/p/DZxlZiVEsrC/</x:v>
      </x:c>
      <x:c r="O139" s="19" t="str"/>
      <x:c r="P139" s="19" t="str">
        <x:v>Design-sale noise</x:v>
      </x:c>
      <x:c r="Q139" s="19" t="str">
        <x:v>No</x:v>
      </x:c>
      <x:c r="R139" s="19" t="str">
        <x:v>Skip</x:v>
      </x:c>
      <x:c r="S139" s="19" t="str">
        <x:v>No</x:v>
      </x:c>
      <x:c r="T139" s="22" t="str">
        <x:v>Design/mockup sale language; not consumer discussion of American Apparel.</x:v>
      </x:c>
    </x:row>
    <x:row r="140">
      <x:c r="A140" s="9" t="str">
        <x:v>Instagram</x:v>
      </x:c>
      <x:c r="B140" s="10" t="str">
        <x:v>IG mention</x:v>
      </x:c>
      <x:c r="C140" s="10" t="str">
        <x:v>3923318424297918727</x:v>
      </x:c>
      <x:c r="D140" s="16" t="n">
        <x:v>46193.028495370374</x:v>
      </x:c>
      <x:c r="E140" s="10" t="str">
        <x:v>kiki.voxx</x:v>
      </x:c>
      <x:c r="F140" s="10" t="str">
        <x:v>Video</x:v>
      </x:c>
      <x:c r="G140" s="19" t="str">
        <x:v>Legs. Leggy. Leeeegs!! Avec des “lil’ toes” amusants #iykyk soft fabric softer pink… #sunkissed …….. suede. Just #1 missing piece… #filterlessmovement #clatsopbeachbunny</x:v>
      </x:c>
      <x:c r="H140" s="19" t="str">
        <x:v>#iykyk #sunkissed #1 #filterlessmovement #clatsopbeachbunny</x:v>
      </x:c>
      <x:c r="I140" s="19" t="str">
        <x:v>@americanapparel @mariemur @museeyslparis @tenderofficialmusic @topochicomx @kiki.voxx</x:v>
      </x:c>
      <x:c r="J140" s="25" t="n">
        <x:v>0</x:v>
      </x:c>
      <x:c r="K140" s="25" t="n">
        <x:v>7</x:v>
      </x:c>
      <x:c r="L140" s="25" t="n">
        <x:v>0</x:v>
      </x:c>
      <x:c r="M140" s="25" t="n">
        <x:v>0</x:v>
      </x:c>
      <x:c r="N140" s="19" t="str">
        <x:v>https://www.instagram.com/p/DZybVH9BdEH/</x:v>
      </x:c>
      <x:c r="O140" s="19" t="str"/>
      <x:c r="P140" s="19" t="str">
        <x:v>Ambiguous / incidental</x:v>
      </x:c>
      <x:c r="Q140" s="19" t="str">
        <x:v>No</x:v>
      </x:c>
      <x:c r="R140" s="19" t="str">
        <x:v>Defer</x:v>
      </x:c>
      <x:c r="S140" s="19" t="str">
        <x:v>No</x:v>
      </x:c>
      <x:c r="T140" s="22" t="str">
        <x:v>The brand is discovered through a tag/mention but is not clearly the subject of the caption.</x:v>
      </x:c>
    </x:row>
    <x:row r="141">
      <x:c r="A141" s="9" t="str">
        <x:v>Instagram</x:v>
      </x:c>
      <x:c r="B141" s="10" t="str">
        <x:v>IG hashtag</x:v>
      </x:c>
      <x:c r="C141" s="10" t="str">
        <x:v>3923449140293491296</x:v>
      </x:c>
      <x:c r="D141" s="16" t="n">
        <x:v>46193.20841435185</x:v>
      </x:c>
      <x:c r="E141" s="10" t="str">
        <x:v>gildan_bangkokthailand</x:v>
      </x:c>
      <x:c r="F141" s="10" t="str">
        <x:v>Image</x:v>
      </x:c>
      <x:c r="G141" s="19" t="str">
        <x:v>3 อันดับขายดี 🏆 ไม่รู้จะเลือกอะไร? ให้ยอดขายเป็นคนตอบ 🥇 Gildan 90s Casual Tee — ทรงครอป สไตล์ 90s 🥈 United Athle 5001 — Japanese Classic ผ้านุ่มทรงดี 🥉 American Apparel — Oversize Street เท่ แมตช์ง่าย แบรนด์แท้ 100% 🛡️ ทักได้เลยนะ โทร: 0853649795 / 0826953626 Line: @gildanbkk (มีไลน์ @ นำหน้าด้วยนะคะ) อีเมล: gildanofficial789@gmail.com #BestSeller #เสื้อยืดขายดี #GildanThailand #UnitedAthle5001 #AmericanApparel #เสื้อยืด #gildanbkk #แบรนด์แท้ #เสื้อยืดoversize #ของดีบอกต่อ</x:v>
      </x:c>
      <x:c r="H141" s="19" t="str">
        <x:v>#BestSeller #เสื้อยืดขายดี #GildanThailand #UnitedAthle5001 #AmericanApparel #เสื้อยืด #gildanbkk #แบรนด์แท้ #เสื้อยืดoversize #ของดีบอกต่อ</x:v>
      </x:c>
      <x:c r="I141" s="19" t="str">
        <x:v>@gildanbkk</x:v>
      </x:c>
      <x:c r="J141" s="25" t="n">
        <x:v>0</x:v>
      </x:c>
      <x:c r="K141" s="25" t="n">
        <x:v>0</x:v>
      </x:c>
      <x:c r="L141" s="25" t="n">
        <x:v>0</x:v>
      </x:c>
      <x:c r="M141" s="25" t="n">
        <x:v>0</x:v>
      </x:c>
      <x:c r="N141" s="19" t="str">
        <x:v>https://www.instagram.com/p/DZy5DStgVpg/</x:v>
      </x:c>
      <x:c r="O141" s="19" t="str"/>
      <x:c r="P141" s="19" t="str">
        <x:v>Likely relevant</x:v>
      </x:c>
      <x:c r="Q141" s="19" t="str">
        <x:v>No</x:v>
      </x:c>
      <x:c r="R141" s="19" t="str">
        <x:v>Keep post; no comments</x:v>
      </x:c>
      <x:c r="S141" s="19" t="str">
        <x:v>No</x:v>
      </x:c>
      <x:c r="T141" s="22" t="str">
        <x:v>The post explicitly names/tags American Apparel or an identified AA product/style.</x:v>
      </x:c>
    </x:row>
    <x:row r="142">
      <x:c r="A142" s="9" t="str">
        <x:v>Instagram</x:v>
      </x:c>
      <x:c r="B142" s="10" t="str">
        <x:v>IG hashtag</x:v>
      </x:c>
      <x:c r="C142" s="10" t="str">
        <x:v>3923663317311436773</x:v>
      </x:c>
      <x:c r="D142" s="16" t="n">
        <x:v>46193.503912037035</x:v>
      </x:c>
      <x:c r="E142" s="10" t="str">
        <x:v>voidworks.usa</x:v>
      </x:c>
      <x:c r="F142" s="10" t="str">
        <x:v>Sidecar</x:v>
      </x:c>
      <x:c r="G142"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V016 #americanapparel #streetwear #clothing #unitedstates #clothingbrand</x:v>
      </x:c>
      <x:c r="H142" s="19" t="str">
        <x:v>#americanapparel #streetwear #clothing #unitedstates #clothingbrand</x:v>
      </x:c>
      <x:c r="I142" s="19" t="str"/>
      <x:c r="J142" s="25" t="n">
        <x:v>0</x:v>
      </x:c>
      <x:c r="K142" s="25" t="n">
        <x:v>1</x:v>
      </x:c>
      <x:c r="L142" s="25" t="n">
        <x:v>0</x:v>
      </x:c>
      <x:c r="M142" s="25" t="n">
        <x:v>0</x:v>
      </x:c>
      <x:c r="N142" s="19" t="str">
        <x:v>https://www.instagram.com/p/DZzpv-mlDfl/</x:v>
      </x:c>
      <x:c r="O142" s="19" t="str"/>
      <x:c r="P142" s="19" t="str">
        <x:v>Design-sale noise</x:v>
      </x:c>
      <x:c r="Q142" s="19" t="str">
        <x:v>No</x:v>
      </x:c>
      <x:c r="R142" s="19" t="str">
        <x:v>Skip</x:v>
      </x:c>
      <x:c r="S142" s="19" t="str">
        <x:v>No</x:v>
      </x:c>
      <x:c r="T142" s="22" t="str">
        <x:v>Design/mockup sale language; not consumer discussion of American Apparel.</x:v>
      </x:c>
    </x:row>
    <x:row r="143">
      <x:c r="A143" s="9" t="str">
        <x:v>Instagram</x:v>
      </x:c>
      <x:c r="B143" s="10" t="str">
        <x:v>IG hashtag</x:v>
      </x:c>
      <x:c r="C143" s="10" t="str">
        <x:v>3923753343181340656</x:v>
      </x:c>
      <x:c r="D143" s="16" t="n">
        <x:v>46193.628125</x:v>
      </x:c>
      <x:c r="E143" s="10" t="str">
        <x:v>sixsensestudio.id</x:v>
      </x:c>
      <x:c r="F143" s="10" t="str">
        <x:v>Sidecar</x:v>
      </x:c>
      <x:c r="G143" s="19" t="str">
        <x:v>(AVAILABLE ) DESIGN FOR SALE🚨 Want this vibe for your brand? Slide to see other, then hit me on DM! [CODE: 010] • Exclusive for one buyer • All text can be changed • Colors can be changed • Digital Product, PNG/PSD Files #designforsales #clothingdesigner #graphicdesigner #americanapparel #streetweardesign</x:v>
      </x:c>
      <x:c r="H143" s="19" t="str">
        <x:v>#designforsales #clothingdesigner #graphicdesigner #americanapparel #streetweardesign</x:v>
      </x:c>
      <x:c r="I143" s="19" t="str"/>
      <x:c r="J143" s="25" t="n">
        <x:v>0</x:v>
      </x:c>
      <x:c r="K143" s="25" t="n">
        <x:v>5</x:v>
      </x:c>
      <x:c r="L143" s="25" t="n">
        <x:v>0</x:v>
      </x:c>
      <x:c r="M143" s="25" t="n">
        <x:v>0</x:v>
      </x:c>
      <x:c r="N143" s="19" t="str">
        <x:v>https://www.instagram.com/p/DZz-OBukz_w/</x:v>
      </x:c>
      <x:c r="O143" s="19" t="str"/>
      <x:c r="P143" s="19" t="str">
        <x:v>Design-sale noise</x:v>
      </x:c>
      <x:c r="Q143" s="19" t="str">
        <x:v>No</x:v>
      </x:c>
      <x:c r="R143" s="19" t="str">
        <x:v>Skip</x:v>
      </x:c>
      <x:c r="S143" s="19" t="str">
        <x:v>No</x:v>
      </x:c>
      <x:c r="T143" s="22" t="str">
        <x:v>Design/mockup sale language; not consumer discussion of American Apparel.</x:v>
      </x:c>
    </x:row>
    <x:row r="144">
      <x:c r="A144" s="9" t="str">
        <x:v>Instagram</x:v>
      </x:c>
      <x:c r="B144" s="10" t="str">
        <x:v>IG hashtag</x:v>
      </x:c>
      <x:c r="C144" s="10" t="str">
        <x:v>3923759494807674878</x:v>
      </x:c>
      <x:c r="D144" s="16" t="n">
        <x:v>46193.636608796296</x:v>
      </x:c>
      <x:c r="E144" s="10" t="str">
        <x:v>sixsensestudio.id</x:v>
      </x:c>
      <x:c r="F144" s="10" t="str">
        <x:v>Sidecar</x:v>
      </x:c>
      <x:c r="G144" s="19" t="str">
        <x:v>(AVAILABLE ) DESIGN FOR SALE🚨 Want this vibe for your brand? Slide to see other, then hit me on DM! [CODE: 011] • Exclusive for one buyer • All text can be changed • Colors can be changed • Digital Product, PNG/PSD Files #designforsales #clothingdesigner #graphicdesigner #americanapparel #streetweardesign</x:v>
      </x:c>
      <x:c r="H144" s="19" t="str">
        <x:v>#designforsales #clothingdesigner #graphicdesigner #americanapparel #streetweardesign</x:v>
      </x:c>
      <x:c r="I144" s="19" t="str"/>
      <x:c r="J144" s="25" t="n">
        <x:v>0</x:v>
      </x:c>
      <x:c r="K144" s="25" t="n">
        <x:v>3</x:v>
      </x:c>
      <x:c r="L144" s="25" t="n">
        <x:v>0</x:v>
      </x:c>
      <x:c r="M144" s="25" t="n">
        <x:v>0</x:v>
      </x:c>
      <x:c r="N144" s="19" t="str">
        <x:v>https://www.instagram.com/p/DZz_ni4E9_-/</x:v>
      </x:c>
      <x:c r="O144" s="19" t="str"/>
      <x:c r="P144" s="19" t="str">
        <x:v>Design-sale noise</x:v>
      </x:c>
      <x:c r="Q144" s="19" t="str">
        <x:v>No</x:v>
      </x:c>
      <x:c r="R144" s="19" t="str">
        <x:v>Skip</x:v>
      </x:c>
      <x:c r="S144" s="19" t="str">
        <x:v>No</x:v>
      </x:c>
      <x:c r="T144" s="22" t="str">
        <x:v>Design/mockup sale language; not consumer discussion of American Apparel.</x:v>
      </x:c>
    </x:row>
    <x:row r="145">
      <x:c r="A145" s="9" t="str">
        <x:v>Instagram</x:v>
      </x:c>
      <x:c r="B145" s="10" t="str">
        <x:v>IG hashtag</x:v>
      </x:c>
      <x:c r="C145" s="10" t="str">
        <x:v>3923760716348339006</x:v>
      </x:c>
      <x:c r="D145" s="16" t="n">
        <x:v>46193.63829861111</x:v>
      </x:c>
      <x:c r="E145" s="10" t="str">
        <x:v>sixsensestudio.id</x:v>
      </x:c>
      <x:c r="F145" s="10" t="str">
        <x:v>Sidecar</x:v>
      </x:c>
      <x:c r="G145" s="19" t="str">
        <x:v>(AVAILABLE ) DESIGN FOR SALE🚨 Want this vibe for your brand? Slide to see other, then hit me on DM! [CODE: 012] • Exclusive for one buyer • All text can be changed • Colors can be changed • Digital Product, PNG/PSD Files #designforsales #clothingdesigner #graphicdesigner #americanapparel #streetweardesign</x:v>
      </x:c>
      <x:c r="H145" s="19" t="str">
        <x:v>#designforsales #clothingdesigner #graphicdesigner #americanapparel #streetweardesign</x:v>
      </x:c>
      <x:c r="I145" s="19" t="str"/>
      <x:c r="J145" s="25" t="n">
        <x:v>0</x:v>
      </x:c>
      <x:c r="K145" s="25" t="n">
        <x:v>3</x:v>
      </x:c>
      <x:c r="L145" s="25" t="n">
        <x:v>0</x:v>
      </x:c>
      <x:c r="M145" s="25" t="n">
        <x:v>0</x:v>
      </x:c>
      <x:c r="N145" s="19" t="str">
        <x:v>https://www.instagram.com/p/DZz_5UhkzM-/</x:v>
      </x:c>
      <x:c r="O145" s="19" t="str"/>
      <x:c r="P145" s="19" t="str">
        <x:v>Design-sale noise</x:v>
      </x:c>
      <x:c r="Q145" s="19" t="str">
        <x:v>No</x:v>
      </x:c>
      <x:c r="R145" s="19" t="str">
        <x:v>Skip</x:v>
      </x:c>
      <x:c r="S145" s="19" t="str">
        <x:v>No</x:v>
      </x:c>
      <x:c r="T145" s="22" t="str">
        <x:v>Design/mockup sale language; not consumer discussion of American Apparel.</x:v>
      </x:c>
    </x:row>
    <x:row r="146">
      <x:c r="A146" s="9" t="str">
        <x:v>TikTok</x:v>
      </x:c>
      <x:c r="B146" s="10" t="str">
        <x:v>TikTok hashtag — validation</x:v>
      </x:c>
      <x:c r="C146" s="10" t="str">
        <x:v>7653524046814006550</x:v>
      </x:c>
      <x:c r="D146" s="16" t="n">
        <x:v>46193.70991898148</x:v>
      </x:c>
      <x:c r="E146" s="10" t="str">
        <x:v>moodboardpins3</x:v>
      </x:c>
      <x:c r="F146" s="10" t="str">
        <x:v>Video</x:v>
      </x:c>
      <x:c r="G146" s="19" t="str">
        <x:v>American apparel Little controversial 👀 But....it was pretty cool how the brand weren't afraid to be unapologetically 'normal' &amp; 'sensual'- not conforming to the beauty standards of the time. #americanapparel #2010snostalgia #moodboardaesthetic #fashionstore #fashionbrand</x:v>
      </x:c>
      <x:c r="H146" s="19" t="str">
        <x:v>#americanapparel #2010snostalgia #moodboardaesthetic #fashionstore #fashionbrand</x:v>
      </x:c>
      <x:c r="I146" s="19" t="str"/>
      <x:c r="J146" s="25" t="n">
        <x:v>0</x:v>
      </x:c>
      <x:c r="K146" s="25" t="n">
        <x:v>91</x:v>
      </x:c>
      <x:c r="L146" s="25" t="n">
        <x:v>1646</x:v>
      </x:c>
      <x:c r="M146" s="25" t="n">
        <x:v>13</x:v>
      </x:c>
      <x:c r="N146" s="19" t="str">
        <x:v>https://www.tiktok.com/@moodboardpins3/video/7653524046814006550</x:v>
      </x:c>
      <x:c r="O146" s="19" t="str"/>
      <x:c r="P146" s="19" t="str">
        <x:v>Likely relevant</x:v>
      </x:c>
      <x:c r="Q146" s="19" t="str">
        <x:v>Review — nostalgia/awareness adjacent</x:v>
      </x:c>
      <x:c r="R146" s="19" t="str">
        <x:v>Keep post; no comments</x:v>
      </x:c>
      <x:c r="S146" s="19" t="str">
        <x:v>Yes</x:v>
      </x:c>
      <x:c r="T146" s="22" t="str">
        <x:v>The post explicitly names/tags American Apparel or an identified AA product/style.</x:v>
      </x:c>
    </x:row>
    <x:row r="147">
      <x:c r="A147" s="9" t="str">
        <x:v>Instagram</x:v>
      </x:c>
      <x:c r="B147" s="10" t="str">
        <x:v>IG mention</x:v>
      </x:c>
      <x:c r="C147" s="10" t="str">
        <x:v>3922936137180921179</x:v>
      </x:c>
      <x:c r="D147" s="16" t="n">
        <x:v>46194.41653935185</x:v>
      </x:c>
      <x:c r="E147" s="10" t="str">
        <x:v>dharmpatelphoto</x:v>
      </x:c>
      <x:c r="F147" s="10" t="str">
        <x:v>Video</x:v>
      </x:c>
      <x:c r="G147" s="19" t="str">
        <x:v>▪️DM or email for your shoot▪️ Model: @lauramaebowes #brandphotography #londoncontentcreator #contentphotographer #advertisingphotographer #campaignphotography Level up your reach with iconic images 👉🏽 Lifestyle images 👉🏽 Content for your social media 👉🏽 Brand photography 👉🏽 Website content</x:v>
      </x:c>
      <x:c r="H147" s="19" t="str">
        <x:v>#brandphotography #londoncontentcreator #contentphotographer #advertisingphotographer #campaignphotography</x:v>
      </x:c>
      <x:c r="I147" s="19" t="str">
        <x:v>@lauramaebowes @mango @americanapparel @virginactiveuk @bondstreet @andazlondon @wsjmag @abc @thekooples @mo_hydepark @rosewoodlondon @singaporeair @thenomadhotel @marylebonevillage @premierpersonalpr @hongkongpost @peacock @snluk @girlsaloud</x:v>
      </x:c>
      <x:c r="J147" s="25" t="n">
        <x:v>0</x:v>
      </x:c>
      <x:c r="K147" s="25" t="n">
        <x:v>8</x:v>
      </x:c>
      <x:c r="L147" s="25" t="n">
        <x:v>0</x:v>
      </x:c>
      <x:c r="M147" s="25" t="n">
        <x:v>0</x:v>
      </x:c>
      <x:c r="N147" s="19" t="str">
        <x:v>https://www.instagram.com/p/DZxEaHVNj1b/</x:v>
      </x:c>
      <x:c r="O147" s="19" t="str"/>
      <x:c r="P147" s="19" t="str">
        <x:v>Ambiguous / incidental</x:v>
      </x:c>
      <x:c r="Q147" s="19" t="str">
        <x:v>No</x:v>
      </x:c>
      <x:c r="R147" s="19" t="str">
        <x:v>Defer</x:v>
      </x:c>
      <x:c r="S147" s="19" t="str">
        <x:v>No</x:v>
      </x:c>
      <x:c r="T147" s="22" t="str">
        <x:v>The brand is discovered through a tag/mention but is not clearly the subject of the caption.</x:v>
      </x:c>
    </x:row>
    <x:row r="148">
      <x:c r="A148" s="9" t="str">
        <x:v>Instagram</x:v>
      </x:c>
      <x:c r="B148" s="10" t="str">
        <x:v>IG hashtag</x:v>
      </x:c>
      <x:c r="C148" s="10" t="str">
        <x:v>3924408267259004980</x:v>
      </x:c>
      <x:c r="D148" s="16" t="n">
        <x:v>46194.531747685185</x:v>
      </x:c>
      <x:c r="E148" s="10" t="str">
        <x:v>voidworks.usa</x:v>
      </x:c>
      <x:c r="F148" s="10" t="str">
        <x:v>Sidecar</x:v>
      </x:c>
      <x:c r="G148"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V017 #americanapparel #streetwear #clothing #unitedstates #clothingbrand</x:v>
      </x:c>
      <x:c r="H148" s="19" t="str">
        <x:v>#americanapparel #streetwear #clothing #unitedstates #clothingbrand</x:v>
      </x:c>
      <x:c r="I148" s="19" t="str"/>
      <x:c r="J148" s="25" t="n">
        <x:v>0</x:v>
      </x:c>
      <x:c r="K148" s="25" t="n">
        <x:v>1</x:v>
      </x:c>
      <x:c r="L148" s="25" t="n">
        <x:v>0</x:v>
      </x:c>
      <x:c r="M148" s="25" t="n">
        <x:v>0</x:v>
      </x:c>
      <x:c r="N148" s="19" t="str">
        <x:v>https://www.instagram.com/p/DZ2TIbTlEg0/</x:v>
      </x:c>
      <x:c r="O148" s="19" t="str"/>
      <x:c r="P148" s="19" t="str">
        <x:v>Design-sale noise</x:v>
      </x:c>
      <x:c r="Q148" s="19" t="str">
        <x:v>No</x:v>
      </x:c>
      <x:c r="R148" s="19" t="str">
        <x:v>Skip</x:v>
      </x:c>
      <x:c r="S148" s="19" t="str">
        <x:v>No</x:v>
      </x:c>
      <x:c r="T148" s="22" t="str">
        <x:v>Design/mockup sale language; not consumer discussion of American Apparel.</x:v>
      </x:c>
    </x:row>
    <x:row r="149">
      <x:c r="A149" s="9" t="str">
        <x:v>Instagram</x:v>
      </x:c>
      <x:c r="B149" s="10" t="str">
        <x:v>IG hashtag</x:v>
      </x:c>
      <x:c r="C149" s="10" t="str">
        <x:v>3924451482758498657</x:v>
      </x:c>
      <x:c r="D149" s="16" t="n">
        <x:v>46194.591365740744</x:v>
      </x:c>
      <x:c r="E149" s="10" t="str">
        <x:v>sixsensestudio.id</x:v>
      </x:c>
      <x:c r="F149" s="10" t="str">
        <x:v>Sidecar</x:v>
      </x:c>
      <x:c r="G149" s="19" t="str">
        <x:v>(AVAILABLE ) DESIGN FOR SALE🚨 Want this vibe for your brand? Slide to see other, then hit me on DM! [CODE: 013] • Exclusive for one buyer • All text can be changed • Colors can be changed • Digital Product, PNG/PSD Files #designforsales #clothingdesigner #graphicdesigner #americanapparel #streetweardesign</x:v>
      </x:c>
      <x:c r="H149" s="19" t="str">
        <x:v>#designforsales #clothingdesigner #graphicdesigner #americanapparel #streetweardesign</x:v>
      </x:c>
      <x:c r="I149" s="19" t="str"/>
      <x:c r="J149" s="25" t="n">
        <x:v>0</x:v>
      </x:c>
      <x:c r="K149" s="25" t="n">
        <x:v>3</x:v>
      </x:c>
      <x:c r="L149" s="25" t="n">
        <x:v>0</x:v>
      </x:c>
      <x:c r="M149" s="25" t="n">
        <x:v>0</x:v>
      </x:c>
      <x:c r="N149" s="19" t="str">
        <x:v>https://www.instagram.com/p/DZ2c9S4E0lh/</x:v>
      </x:c>
      <x:c r="O149" s="19" t="str"/>
      <x:c r="P149" s="19" t="str">
        <x:v>Design-sale noise</x:v>
      </x:c>
      <x:c r="Q149" s="19" t="str">
        <x:v>No</x:v>
      </x:c>
      <x:c r="R149" s="19" t="str">
        <x:v>Skip</x:v>
      </x:c>
      <x:c r="S149" s="19" t="str">
        <x:v>No</x:v>
      </x:c>
      <x:c r="T149" s="22" t="str">
        <x:v>Design/mockup sale language; not consumer discussion of American Apparel.</x:v>
      </x:c>
    </x:row>
    <x:row r="150">
      <x:c r="A150" s="9" t="str">
        <x:v>Instagram</x:v>
      </x:c>
      <x:c r="B150" s="10" t="str">
        <x:v>IG hashtag</x:v>
      </x:c>
      <x:c r="C150" s="10" t="str">
        <x:v>3924499217419400628</x:v>
      </x:c>
      <x:c r="D150" s="16" t="n">
        <x:v>46194.65723379629</x:v>
      </x:c>
      <x:c r="E150" s="10" t="str">
        <x:v>voidworks.usa</x:v>
      </x:c>
      <x:c r="F150" s="10" t="str">
        <x:v>Sidecar</x:v>
      </x:c>
      <x:c r="G150"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V018 #americanapparel #streetwear #clothing #unitedstates #clothingbrand</x:v>
      </x:c>
      <x:c r="H150" s="19" t="str">
        <x:v>#americanapparel #streetwear #clothing #unitedstates #clothingbrand</x:v>
      </x:c>
      <x:c r="I150" s="19" t="str"/>
      <x:c r="J150" s="25" t="n">
        <x:v>0</x:v>
      </x:c>
      <x:c r="K150" s="25" t="n">
        <x:v>1</x:v>
      </x:c>
      <x:c r="L150" s="25" t="n">
        <x:v>0</x:v>
      </x:c>
      <x:c r="M150" s="25" t="n">
        <x:v>0</x:v>
      </x:c>
      <x:c r="N150" s="19" t="str">
        <x:v>https://www.instagram.com/p/DZ2nz7PlPW0/</x:v>
      </x:c>
      <x:c r="O150" s="19" t="str"/>
      <x:c r="P150" s="19" t="str">
        <x:v>Design-sale noise</x:v>
      </x:c>
      <x:c r="Q150" s="19" t="str">
        <x:v>No</x:v>
      </x:c>
      <x:c r="R150" s="19" t="str">
        <x:v>Skip</x:v>
      </x:c>
      <x:c r="S150" s="19" t="str">
        <x:v>No</x:v>
      </x:c>
      <x:c r="T150" s="22" t="str">
        <x:v>Design/mockup sale language; not consumer discussion of American Apparel.</x:v>
      </x:c>
    </x:row>
    <x:row r="151">
      <x:c r="A151" s="9" t="str">
        <x:v>Instagram</x:v>
      </x:c>
      <x:c r="B151" s="10" t="str">
        <x:v>IG hashtag</x:v>
      </x:c>
      <x:c r="C151" s="10" t="str">
        <x:v>3925058644697835257</x:v>
      </x:c>
      <x:c r="D151" s="16" t="n">
        <x:v>46195.431909722225</x:v>
      </x:c>
      <x:c r="E151" s="10" t="str">
        <x:v>neoguri_vtg</x:v>
      </x:c>
      <x:c r="F151" s="10" t="str">
        <x:v>Image</x:v>
      </x:c>
      <x:c r="G151" s="19" t="str">
        <x:v>americanapparel 코튼 백팩 ❌sold out❌ 단종된 AA 백팩 바디는 블랙 , 포인트는 크림색의 코튼소재로 관리가 편하고 세탁시 물 빠짐 페이딩으로 자신만의 백팩을 만들어가는 재미가 있어요 😀 Made in USA #americanapparel</x:v>
      </x:c>
      <x:c r="H151" s="19" t="str">
        <x:v>#americanapparel</x:v>
      </x:c>
      <x:c r="I151" s="19" t="str"/>
      <x:c r="J151" s="25" t="n">
        <x:v>0</x:v>
      </x:c>
      <x:c r="K151" s="25" t="n">
        <x:v>1</x:v>
      </x:c>
      <x:c r="L151" s="25" t="n">
        <x:v>0</x:v>
      </x:c>
      <x:c r="M151" s="25" t="n">
        <x:v>0</x:v>
      </x:c>
      <x:c r="N151" s="19" t="str">
        <x:v>https://www.instagram.com/p/DZ4nAqfymb5/</x:v>
      </x:c>
      <x:c r="O151" s="19" t="str"/>
      <x:c r="P151" s="19" t="str">
        <x:v>Likely relevant</x:v>
      </x:c>
      <x:c r="Q151" s="19" t="str">
        <x:v>No</x:v>
      </x:c>
      <x:c r="R151" s="19" t="str">
        <x:v>Keep post; no comments</x:v>
      </x:c>
      <x:c r="S151" s="19" t="str">
        <x:v>No</x:v>
      </x:c>
      <x:c r="T151" s="22" t="str">
        <x:v>The post explicitly names/tags American Apparel or an identified AA product/style.</x:v>
      </x:c>
    </x:row>
    <x:row r="152">
      <x:c r="A152" s="9" t="str">
        <x:v>Instagram</x:v>
      </x:c>
      <x:c r="B152" s="10" t="str">
        <x:v>IG hashtag</x:v>
      </x:c>
      <x:c r="C152" s="10" t="str">
        <x:v>3925073988976654301</x:v>
      </x:c>
      <x:c r="D152" s="16" t="n">
        <x:v>46195.450266203705</x:v>
      </x:c>
      <x:c r="E152" s="10" t="str">
        <x:v>pickbyjami</x:v>
      </x:c>
      <x:c r="F152" s="10" t="str">
        <x:v>Sidecar</x:v>
      </x:c>
      <x:c r="G152" s="19" t="str">
        <x:v>GRAPHIC TEE Size L Chest / Ngang ngực: 54cm Length / Dài áo: 74cm Condition / Tình trạng: 9/10 American Apparel Heavyweight Cotton Price / Giá: 220.000đ #graphictee #americanapparel #secondhandclothing #thriftedfashion #streetwear</x:v>
      </x:c>
      <x:c r="H152" s="19" t="str">
        <x:v>#graphictee #americanapparel #secondhandclothing #thriftedfashion #streetwear</x:v>
      </x:c>
      <x:c r="I152" s="19" t="str"/>
      <x:c r="J152" s="25" t="n">
        <x:v>0</x:v>
      </x:c>
      <x:c r="K152" s="25" t="n">
        <x:v>-1</x:v>
      </x:c>
      <x:c r="L152" s="25" t="n">
        <x:v>0</x:v>
      </x:c>
      <x:c r="M152" s="25" t="n">
        <x:v>0</x:v>
      </x:c>
      <x:c r="N152" s="19" t="str">
        <x:v>https://www.instagram.com/p/DZ4qf8-FDfd/</x:v>
      </x:c>
      <x:c r="O152" s="19" t="str"/>
      <x:c r="P152" s="19" t="str">
        <x:v>Likely relevant</x:v>
      </x:c>
      <x:c r="Q152" s="19" t="str">
        <x:v>No</x:v>
      </x:c>
      <x:c r="R152" s="19" t="str">
        <x:v>Keep post; no comments</x:v>
      </x:c>
      <x:c r="S152" s="19" t="str">
        <x:v>No</x:v>
      </x:c>
      <x:c r="T152" s="22" t="str">
        <x:v>The post explicitly names/tags American Apparel or an identified AA product/style.</x:v>
      </x:c>
    </x:row>
    <x:row r="153">
      <x:c r="A153" s="9" t="str">
        <x:v>Instagram</x:v>
      </x:c>
      <x:c r="B153" s="10" t="str">
        <x:v>IG hashtag</x:v>
      </x:c>
      <x:c r="C153" s="10" t="str">
        <x:v>3925079989221791661</x:v>
      </x:c>
      <x:c r="D153" s="16" t="n">
        <x:v>46195.458553240744</x:v>
      </x:c>
      <x:c r="E153" s="10" t="str">
        <x:v>gildan_bangkokthailand</x:v>
      </x:c>
      <x:c r="F153" s="10" t="str">
        <x:v>Image</x:v>
      </x:c>
      <x:c r="G153" s="19" t="str">
        <x:v>☀️ เสื้อยืดที่ใส่แล้ว "ใช่" ตั้งแต่คำแรกที่สัมผัส American Apparel 1301 California Classic ไม่ใช่แค่เสื้อยืดธรรมดา แต่คือสัญลักษณ์ของความคลาสสิกสไตล์อเมริกันแท้ ๆ ที่อยู่คู่วงการแฟชั่นมานาน ✅ เนื้อผ้าคอตตอน 100% นุ่ม สวมใส่สบาย ระบายอากาศดี ✅ ทรงสวย ใส่ได้ทุกเพศทุกวัย ทั้งผู้ชายและผู้หญิง ✅ สีพื้นเบสิก เข้ากับทุกสไตล์การแต่งตัว ✅ คุณภาพมาตรฐานสากล ทนทาน ซักแล้วไม่เสียทรง ไม่ว่าจะใส่ไปทำงาน เที่ยว หรือถ่ายรูปชิค ๆ ริมถนน เสื้อตัวนี้ตอบโจทย์ทุกไลฟ์สไตล์ของคนเมือง 🏙️☕ เหมาะมากสำหรับทำแบรนด์เสื้อ สกรีนโลโก้ หรือสั่งทำยูนิฟอร์มที่ต้องการความพรีเมียมในราคาที่คุ้มค่า 📩 สนใจสอบถามหรือสั่งซื้อ แอดไลน์ @gildanbkk 🛒 Shopee &gt; https://s.shopee.co.th/60P8ev3SAl #AmericanApparel #CaliforniaClassic #เสื้อยืดพรีเมียม #เสื้อยืดเปล่า #รับสกรีนเสื้อ</x:v>
      </x:c>
      <x:c r="H153" s="19" t="str">
        <x:v>#AmericanApparel #CaliforniaClassic #เสื้อยืดพรีเมียม #เสื้อยืดเปล่า #รับสกรีนเสื้อ</x:v>
      </x:c>
      <x:c r="I153" s="19" t="str">
        <x:v>@gildanbkk</x:v>
      </x:c>
      <x:c r="J153" s="25" t="n">
        <x:v>0</x:v>
      </x:c>
      <x:c r="K153" s="25" t="n">
        <x:v>0</x:v>
      </x:c>
      <x:c r="L153" s="25" t="n">
        <x:v>0</x:v>
      </x:c>
      <x:c r="M153" s="25" t="n">
        <x:v>0</x:v>
      </x:c>
      <x:c r="N153" s="19" t="str">
        <x:v>https://www.instagram.com/p/DZ4r3RIjxet/</x:v>
      </x:c>
      <x:c r="O153" s="19" t="str">
        <x:v>1301, California Classic</x:v>
      </x:c>
      <x:c r="P153" s="19" t="str">
        <x:v>Likely relevant</x:v>
      </x:c>
      <x:c r="Q153" s="19" t="str">
        <x:v>No</x:v>
      </x:c>
      <x:c r="R153" s="19" t="str">
        <x:v>Keep post; no comments</x:v>
      </x:c>
      <x:c r="S153" s="19" t="str">
        <x:v>No</x:v>
      </x:c>
      <x:c r="T153" s="22" t="str">
        <x:v>The post explicitly names/tags American Apparel or an identified AA product/style.</x:v>
      </x:c>
    </x:row>
    <x:row r="154">
      <x:c r="A154" s="9" t="str">
        <x:v>Instagram</x:v>
      </x:c>
      <x:c r="B154" s="10" t="str">
        <x:v>IG hashtag</x:v>
      </x:c>
      <x:c r="C154" s="10" t="str">
        <x:v>3925132938484774352</x:v>
      </x:c>
      <x:c r="D154" s="16" t="n">
        <x:v>46195.53273148148</x:v>
      </x:c>
      <x:c r="E154" s="10" t="str">
        <x:v>kdj55070</x:v>
      </x:c>
      <x:c r="F154" s="10" t="str">
        <x:v>Image</x:v>
      </x:c>
      <x:c r="G154" s="19" t="str">
        <x:v>Celebrate freedom in style! 🇺🇸✨ Score 20% off our exclusive America 250 collection! Offer ends July 4th! 🎆 Shop now! #Celebrate250 #Celebrate250Years #AmericanApparel #FourthOfJuly #SummerSale</x:v>
      </x:c>
      <x:c r="H154" s="19" t="str">
        <x:v>#Celebrate250 #Celebrate250Years #AmericanApparel #FourthOfJuly #SummerSale</x:v>
      </x:c>
      <x:c r="I154" s="19" t="str"/>
      <x:c r="J154" s="25" t="n">
        <x:v>0</x:v>
      </x:c>
      <x:c r="K154" s="25" t="n">
        <x:v>0</x:v>
      </x:c>
      <x:c r="L154" s="25" t="n">
        <x:v>0</x:v>
      </x:c>
      <x:c r="M154" s="25" t="n">
        <x:v>0</x:v>
      </x:c>
      <x:c r="N154" s="19" t="str">
        <x:v>https://www.instagram.com/p/DZ435x-kfXQ/</x:v>
      </x:c>
      <x:c r="O154" s="19" t="str"/>
      <x:c r="P154" s="19" t="str">
        <x:v>Likely relevant</x:v>
      </x:c>
      <x:c r="Q154" s="19" t="str">
        <x:v>No</x:v>
      </x:c>
      <x:c r="R154" s="19" t="str">
        <x:v>Keep post; no comments</x:v>
      </x:c>
      <x:c r="S154" s="19" t="str">
        <x:v>No</x:v>
      </x:c>
      <x:c r="T154" s="22" t="str">
        <x:v>The post explicitly names/tags American Apparel or an identified AA product/style.</x:v>
      </x:c>
    </x:row>
    <x:row r="155">
      <x:c r="A155" s="9" t="str">
        <x:v>Instagram</x:v>
      </x:c>
      <x:c r="B155" s="10" t="str">
        <x:v>IG mention</x:v>
      </x:c>
      <x:c r="C155" s="10" t="str">
        <x:v>3925153839795828895</x:v>
      </x:c>
      <x:c r="D155" s="16" t="n">
        <x:v>46195.57263888889</x:v>
      </x:c>
      <x:c r="E155" s="10" t="str">
        <x:v>kkevinkkhing</x:v>
      </x:c>
      <x:c r="F155" s="10" t="str">
        <x:v>Image</x:v>
      </x:c>
      <x:c r="G155" s="19" t="str"/>
      <x:c r="H155" s="19" t="str"/>
      <x:c r="I155" s="19" t="str">
        <x:v>@americanapparel</x:v>
      </x:c>
      <x:c r="J155" s="25" t="n">
        <x:v>0</x:v>
      </x:c>
      <x:c r="K155" s="25" t="n">
        <x:v>-1</x:v>
      </x:c>
      <x:c r="L155" s="25" t="n">
        <x:v>0</x:v>
      </x:c>
      <x:c r="M155" s="25" t="n">
        <x:v>0</x:v>
      </x:c>
      <x:c r="N155" s="19" t="str">
        <x:v>https://www.instagram.com/p/DZ48p71ynif/</x:v>
      </x:c>
      <x:c r="O155" s="19" t="str"/>
      <x:c r="P155" s="19" t="str">
        <x:v>Ambiguous / incidental</x:v>
      </x:c>
      <x:c r="Q155" s="19" t="str">
        <x:v>No</x:v>
      </x:c>
      <x:c r="R155" s="19" t="str">
        <x:v>Defer</x:v>
      </x:c>
      <x:c r="S155" s="19" t="str">
        <x:v>No</x:v>
      </x:c>
      <x:c r="T155" s="22" t="str">
        <x:v>The brand is discovered through a tag/mention but is not clearly the subject of the caption.</x:v>
      </x:c>
    </x:row>
    <x:row r="156">
      <x:c r="A156" s="9" t="str">
        <x:v>Instagram</x:v>
      </x:c>
      <x:c r="B156" s="10" t="str">
        <x:v>IG hashtag</x:v>
      </x:c>
      <x:c r="C156" s="10" t="str">
        <x:v>3925188913945156430</x:v>
      </x:c>
      <x:c r="D156" s="16" t="n">
        <x:v>46195.608831018515</x:v>
      </x:c>
      <x:c r="E156" s="10" t="str">
        <x:v>deenalinart</x:v>
      </x:c>
      <x:c r="F156" s="10" t="str">
        <x:v>Sidecar</x:v>
      </x:c>
      <x:c r="G156" s="19" t="str">
        <x:v>Today ONLY!!! Shop my LIMITED EDITION America 250 Eagle Art T-shirt, collaboration with @varevolution250 Shop www.deenalinart.com ➡️ apparel. Linked in bio Special thanks to @nationalparkservice for the Jefferson quote inspiration. Hand painted and designed by @deenalinart. Made in USA. Shop small. Support local. #americanapparel #madeinusa #america250</x:v>
      </x:c>
      <x:c r="H156" s="19" t="str">
        <x:v>#americanapparel #madeinusa #america250</x:v>
      </x:c>
      <x:c r="I156" s="19" t="str">
        <x:v>@varevolution250 @nationalparkservice @deenalinart @freedom250 @visitvirginia @karianna_bond</x:v>
      </x:c>
      <x:c r="J156" s="25" t="n">
        <x:v>0</x:v>
      </x:c>
      <x:c r="K156" s="25" t="n">
        <x:v>23</x:v>
      </x:c>
      <x:c r="L156" s="25" t="n">
        <x:v>0</x:v>
      </x:c>
      <x:c r="M156" s="25" t="n">
        <x:v>0</x:v>
      </x:c>
      <x:c r="N156" s="19" t="str">
        <x:v>https://www.instagram.com/p/DZ5EoVMAJtO/</x:v>
      </x:c>
      <x:c r="O156" s="19" t="str"/>
      <x:c r="P156" s="19" t="str">
        <x:v>Likely relevant</x:v>
      </x:c>
      <x:c r="Q156" s="19" t="str">
        <x:v>No</x:v>
      </x:c>
      <x:c r="R156" s="19" t="str">
        <x:v>Keep post; no comments</x:v>
      </x:c>
      <x:c r="S156" s="19" t="str">
        <x:v>No</x:v>
      </x:c>
      <x:c r="T156" s="22" t="str">
        <x:v>The post explicitly names/tags American Apparel or an identified AA product/style.</x:v>
      </x:c>
    </x:row>
    <x:row r="157">
      <x:c r="A157" s="9" t="str">
        <x:v>Instagram</x:v>
      </x:c>
      <x:c r="B157" s="10" t="str">
        <x:v>IG hashtag</x:v>
      </x:c>
      <x:c r="C157" s="10" t="str">
        <x:v>3925224403629535691</x:v>
      </x:c>
      <x:c r="D157" s="16" t="n">
        <x:v>46195.657800925925</x:v>
      </x:c>
      <x:c r="E157" s="10" t="str">
        <x:v>ptspromotions</x:v>
      </x:c>
      <x:c r="F157" s="10" t="str">
        <x:v>Sidecar</x:v>
      </x:c>
      <x:c r="G157" s="19" t="str">
        <x:v>As America starts gearing up for the big celebration, we continue cranking out a batch of patriotic tees for some of our customers. Here are a few for you all to check out. Feel free to give us a call for your apparel needs. 770-449-7317. Or, email us at sales@ptspromotions.com #screenprinting #ptspromotions #tshirt #promo #screenprint #georgia #summer2026 #apparel #america250 #patriotic #americanapparel</x:v>
      </x:c>
      <x:c r="H157" s="19" t="str">
        <x:v>#screenprinting #ptspromotions #tshirt #promo #screenprint #georgia #summer2026 #apparel #america250 #patriotic #americanapparel</x:v>
      </x:c>
      <x:c r="I157" s="19" t="str"/>
      <x:c r="J157" s="25" t="n">
        <x:v>0</x:v>
      </x:c>
      <x:c r="K157" s="25" t="n">
        <x:v>0</x:v>
      </x:c>
      <x:c r="L157" s="25" t="n">
        <x:v>0</x:v>
      </x:c>
      <x:c r="M157" s="25" t="n">
        <x:v>0</x:v>
      </x:c>
      <x:c r="N157" s="19" t="str">
        <x:v>https://www.instagram.com/p/DZ5MsxiCHHL/</x:v>
      </x:c>
      <x:c r="O157" s="19" t="str"/>
      <x:c r="P157" s="19" t="str">
        <x:v>Likely relevant</x:v>
      </x:c>
      <x:c r="Q157" s="19" t="str">
        <x:v>No</x:v>
      </x:c>
      <x:c r="R157" s="19" t="str">
        <x:v>Keep post; no comments</x:v>
      </x:c>
      <x:c r="S157" s="19" t="str">
        <x:v>No</x:v>
      </x:c>
      <x:c r="T157" s="22" t="str">
        <x:v>The post explicitly names/tags American Apparel or an identified AA product/style.</x:v>
      </x:c>
    </x:row>
    <x:row r="158">
      <x:c r="A158" s="9" t="str">
        <x:v>Instagram</x:v>
      </x:c>
      <x:c r="B158" s="10" t="str">
        <x:v>IG hashtag</x:v>
      </x:c>
      <x:c r="C158" s="10" t="str">
        <x:v>3925197047086959339</x:v>
      </x:c>
      <x:c r="D158" s="16" t="n">
        <x:v>46195.665300925924</x:v>
      </x:c>
      <x:c r="E158" s="10" t="str">
        <x:v>uptownathens</x:v>
      </x:c>
      <x:c r="F158" s="10" t="str">
        <x:v>Image</x:v>
      </x:c>
      <x:c r="G158" s="19" t="str">
        <x:v>Come shop our 4th of July display for all of your red, white, and blue essentials! !🇺🇸👖❤️ #americanapparel #4thjuly #fourthofjulyoutfit #americana #redwhiteandcute❤️🇺🇸💙</x:v>
      </x:c>
      <x:c r="H158" s="19" t="str">
        <x:v>#americanapparel #4thjuly #fourthofjulyoutfit #americana #redwhiteandcute❤️🇺🇸💙</x:v>
      </x:c>
      <x:c r="I158" s="19" t="str"/>
      <x:c r="J158" s="25" t="n">
        <x:v>0</x:v>
      </x:c>
      <x:c r="K158" s="25" t="n">
        <x:v>18</x:v>
      </x:c>
      <x:c r="L158" s="25" t="n">
        <x:v>0</x:v>
      </x:c>
      <x:c r="M158" s="25" t="n">
        <x:v>0</x:v>
      </x:c>
      <x:c r="N158" s="19" t="str">
        <x:v>https://www.instagram.com/p/DZ5GerxB8rr/</x:v>
      </x:c>
      <x:c r="O158" s="19" t="str"/>
      <x:c r="P158" s="19" t="str">
        <x:v>Likely relevant</x:v>
      </x:c>
      <x:c r="Q158" s="19" t="str">
        <x:v>No</x:v>
      </x:c>
      <x:c r="R158" s="19" t="str">
        <x:v>Keep post; no comments</x:v>
      </x:c>
      <x:c r="S158" s="19" t="str">
        <x:v>No</x:v>
      </x:c>
      <x:c r="T158" s="22" t="str">
        <x:v>The post explicitly names/tags American Apparel or an identified AA product/style.</x:v>
      </x:c>
    </x:row>
    <x:row r="159">
      <x:c r="A159" s="9" t="str">
        <x:v>Instagram</x:v>
      </x:c>
      <x:c r="B159" s="10" t="str">
        <x:v>IG hashtag</x:v>
      </x:c>
      <x:c r="C159" s="10" t="str">
        <x:v>3925244296978092843</x:v>
      </x:c>
      <x:c r="D159" s="16" t="n">
        <x:v>46195.68524305556</x:v>
      </x:c>
      <x:c r="E159" s="10" t="str">
        <x:v>godin.jpg</x:v>
      </x:c>
      <x:c r="F159" s="10" t="str">
        <x:v>Sidecar</x:v>
      </x:c>
      <x:c r="G159"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159" s="19" t="str">
        <x:v>#designforsale #clothingbrand #designs #streetwearbrand #streetwear #streetweardesigner #usastreetwear #americanapparel #urbanfashion #fashiondesigners</x:v>
      </x:c>
      <x:c r="I159" s="19" t="str"/>
      <x:c r="J159" s="25" t="n">
        <x:v>0</x:v>
      </x:c>
      <x:c r="K159" s="25" t="n">
        <x:v>2</x:v>
      </x:c>
      <x:c r="L159" s="25" t="n">
        <x:v>0</x:v>
      </x:c>
      <x:c r="M159" s="25" t="n">
        <x:v>0</x:v>
      </x:c>
      <x:c r="N159" s="19" t="str">
        <x:v>https://www.instagram.com/p/DZ5ROQqAdMr/</x:v>
      </x:c>
      <x:c r="O159" s="19" t="str"/>
      <x:c r="P159" s="19" t="str">
        <x:v>Design-sale noise</x:v>
      </x:c>
      <x:c r="Q159" s="19" t="str">
        <x:v>No</x:v>
      </x:c>
      <x:c r="R159" s="19" t="str">
        <x:v>Skip</x:v>
      </x:c>
      <x:c r="S159" s="19" t="str">
        <x:v>No</x:v>
      </x:c>
      <x:c r="T159" s="22" t="str">
        <x:v>Design/mockup sale language; not consumer discussion of American Apparel.</x:v>
      </x:c>
    </x:row>
    <x:row r="160">
      <x:c r="A160" s="9" t="str">
        <x:v>Instagram</x:v>
      </x:c>
      <x:c r="B160" s="10" t="str">
        <x:v>IG hashtag</x:v>
      </x:c>
      <x:c r="C160" s="10" t="str">
        <x:v>3925474708477355363</x:v>
      </x:c>
      <x:c r="D160" s="16" t="n">
        <x:v>46196.00314814815</x:v>
      </x:c>
      <x:c r="E160" s="10" t="str">
        <x:v>voidworks.usa</x:v>
      </x:c>
      <x:c r="F160" s="10" t="str">
        <x:v>Sidecar</x:v>
      </x:c>
      <x:c r="G160" s="19" t="str">
        <x:v>sold, thank you!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V020 #americanapparel #streetwear #clothing #unitedstates #clothingbrand</x:v>
      </x:c>
      <x:c r="H160" s="19" t="str">
        <x:v>#americanapparel #streetwear #clothing #unitedstates #clothingbrand</x:v>
      </x:c>
      <x:c r="I160" s="19" t="str"/>
      <x:c r="J160" s="25" t="n">
        <x:v>0</x:v>
      </x:c>
      <x:c r="K160" s="25" t="n">
        <x:v>3</x:v>
      </x:c>
      <x:c r="L160" s="25" t="n">
        <x:v>0</x:v>
      </x:c>
      <x:c r="M160" s="25" t="n">
        <x:v>0</x:v>
      </x:c>
      <x:c r="N160" s="19" t="str">
        <x:v>https://www.instagram.com/p/DZ6FnMFkqVj/</x:v>
      </x:c>
      <x:c r="O160" s="19" t="str"/>
      <x:c r="P160" s="19" t="str">
        <x:v>Design-sale noise</x:v>
      </x:c>
      <x:c r="Q160" s="19" t="str">
        <x:v>No</x:v>
      </x:c>
      <x:c r="R160" s="19" t="str">
        <x:v>Skip</x:v>
      </x:c>
      <x:c r="S160" s="19" t="str">
        <x:v>No</x:v>
      </x:c>
      <x:c r="T160" s="22" t="str">
        <x:v>Design/mockup sale language; not consumer discussion of American Apparel.</x:v>
      </x:c>
    </x:row>
    <x:row r="161">
      <x:c r="A161" s="9" t="str">
        <x:v>Instagram</x:v>
      </x:c>
      <x:c r="B161" s="10" t="str">
        <x:v>IG hashtag</x:v>
      </x:c>
      <x:c r="C161" s="10" t="str">
        <x:v>3925853613570918740</x:v>
      </x:c>
      <x:c r="D161" s="16" t="n">
        <x:v>46196.5259375</x:v>
      </x:c>
      <x:c r="E161" s="10" t="str">
        <x:v>voidworks.usa</x:v>
      </x:c>
      <x:c r="F161" s="10" t="str">
        <x:v>Sidecar</x:v>
      </x:c>
      <x:c r="G161"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V021 #americanapparel #streetwear #clothing #unitedstates #clothingbrand</x:v>
      </x:c>
      <x:c r="H161" s="19" t="str">
        <x:v>#americanapparel #streetwear #clothing #unitedstates #clothingbrand</x:v>
      </x:c>
      <x:c r="I161" s="19" t="str"/>
      <x:c r="J161" s="25" t="n">
        <x:v>0</x:v>
      </x:c>
      <x:c r="K161" s="25" t="n">
        <x:v>1</x:v>
      </x:c>
      <x:c r="L161" s="25" t="n">
        <x:v>0</x:v>
      </x:c>
      <x:c r="M161" s="25" t="n">
        <x:v>0</x:v>
      </x:c>
      <x:c r="N161" s="19" t="str">
        <x:v>https://www.instagram.com/p/DZ7bw-9FAlU/</x:v>
      </x:c>
      <x:c r="O161" s="19" t="str"/>
      <x:c r="P161" s="19" t="str">
        <x:v>Design-sale noise</x:v>
      </x:c>
      <x:c r="Q161" s="19" t="str">
        <x:v>No</x:v>
      </x:c>
      <x:c r="R161" s="19" t="str">
        <x:v>Skip</x:v>
      </x:c>
      <x:c r="S161" s="19" t="str">
        <x:v>No</x:v>
      </x:c>
      <x:c r="T161" s="22" t="str">
        <x:v>Design/mockup sale language; not consumer discussion of American Apparel.</x:v>
      </x:c>
    </x:row>
    <x:row r="162">
      <x:c r="A162" s="9" t="str">
        <x:v>Instagram</x:v>
      </x:c>
      <x:c r="B162" s="10" t="str">
        <x:v>IG hashtag</x:v>
      </x:c>
      <x:c r="C162" s="10" t="str">
        <x:v>3926570397056061319</x:v>
      </x:c>
      <x:c r="D162" s="16" t="n">
        <x:v>46197.515497685185</x:v>
      </x:c>
      <x:c r="E162" s="10" t="str">
        <x:v>mopes_merch</x:v>
      </x:c>
      <x:c r="F162" s="10" t="str">
        <x:v>Image</x:v>
      </x:c>
      <x:c r="G162" s="19" t="str">
        <x:v>Feel the pride in the Metal Up Classic Unisex Pullover Hoodie | The Patriotic Peace Hoodie - $35, soft, bold, and made to turn heads!!! 🇺🇸🔥 Slip into one and be part of the vibe!!! 🤘🧥 Click the link in our bio to shop now! 🛍️ #PatrioticFashion #MetalUpHoodie #UnisexHoodie #PatrioticClothes #AmericanApparel #PeaceHoodie #BoldStyle</x:v>
      </x:c>
      <x:c r="H162" s="19" t="str">
        <x:v>#PatrioticFashion #MetalUpHoodie #UnisexHoodie #PatrioticClothes #AmericanApparel #PeaceHoodie #BoldStyle</x:v>
      </x:c>
      <x:c r="I162" s="19" t="str"/>
      <x:c r="J162" s="25" t="n">
        <x:v>0</x:v>
      </x:c>
      <x:c r="K162" s="25" t="n">
        <x:v>0</x:v>
      </x:c>
      <x:c r="L162" s="25" t="n">
        <x:v>0</x:v>
      </x:c>
      <x:c r="M162" s="25" t="n">
        <x:v>0</x:v>
      </x:c>
      <x:c r="N162" s="19" t="str">
        <x:v>https://www.instagram.com/p/DZ9-vjmF0-H/</x:v>
      </x:c>
      <x:c r="O162" s="19" t="str">
        <x:v>Hoodie</x:v>
      </x:c>
      <x:c r="P162" s="19" t="str">
        <x:v>Likely relevant</x:v>
      </x:c>
      <x:c r="Q162" s="19" t="str">
        <x:v>No</x:v>
      </x:c>
      <x:c r="R162" s="19" t="str">
        <x:v>Keep post; no comments</x:v>
      </x:c>
      <x:c r="S162" s="19" t="str">
        <x:v>No</x:v>
      </x:c>
      <x:c r="T162" s="22" t="str">
        <x:v>The post explicitly names/tags American Apparel or an identified AA product/style.</x:v>
      </x:c>
    </x:row>
    <x:row r="163">
      <x:c r="A163" s="9" t="str">
        <x:v>Instagram</x:v>
      </x:c>
      <x:c r="B163" s="10" t="str">
        <x:v>IG hashtag</x:v>
      </x:c>
      <x:c r="C163" s="10" t="str">
        <x:v>3926570650098444686</x:v>
      </x:c>
      <x:c r="D163" s="16" t="n">
        <x:v>46197.515497685185</x:v>
      </x:c>
      <x:c r="E163" s="10" t="str">
        <x:v>mopes_merch</x:v>
      </x:c>
      <x:c r="F163" s="10" t="str">
        <x:v>Image</x:v>
      </x:c>
      <x:c r="G163" s="19" t="str"/>
      <x:c r="H163" s="19" t="str"/>
      <x:c r="I163" s="19" t="str"/>
      <x:c r="J163" s="25" t="n">
        <x:v>0</x:v>
      </x:c>
      <x:c r="K163" s="25" t="n">
        <x:v>0</x:v>
      </x:c>
      <x:c r="L163" s="25" t="n">
        <x:v>0</x:v>
      </x:c>
      <x:c r="M163" s="25" t="n">
        <x:v>0</x:v>
      </x:c>
      <x:c r="N163" s="19" t="str">
        <x:v>https://www.instagram.com/p/DZ9-zPQl6mO/</x:v>
      </x:c>
      <x:c r="O163" s="19" t="str"/>
      <x:c r="P163" s="19" t="str">
        <x:v>Ambiguous / incidental</x:v>
      </x:c>
      <x:c r="Q163" s="19" t="str">
        <x:v>No</x:v>
      </x:c>
      <x:c r="R163" s="19" t="str">
        <x:v>Defer</x:v>
      </x:c>
      <x:c r="S163" s="19" t="str">
        <x:v>No</x:v>
      </x:c>
      <x:c r="T163" s="22" t="str">
        <x:v>The brand is discovered through a tag/mention but is not clearly the subject of the caption.</x:v>
      </x:c>
    </x:row>
    <x:row r="164">
      <x:c r="A164" s="9" t="str">
        <x:v>Instagram</x:v>
      </x:c>
      <x:c r="B164" s="10" t="str">
        <x:v>IG hashtag</x:v>
      </x:c>
      <x:c r="C164" s="10" t="str">
        <x:v>3926570478098383636</x:v>
      </x:c>
      <x:c r="D164" s="16" t="n">
        <x:v>46197.515497685185</x:v>
      </x:c>
      <x:c r="E164" s="10" t="str">
        <x:v>mopes_merch</x:v>
      </x:c>
      <x:c r="F164" s="10" t="str">
        <x:v>Image</x:v>
      </x:c>
      <x:c r="G164" s="19" t="str"/>
      <x:c r="H164" s="19" t="str"/>
      <x:c r="I164" s="19" t="str"/>
      <x:c r="J164" s="25" t="n">
        <x:v>0</x:v>
      </x:c>
      <x:c r="K164" s="25" t="n">
        <x:v>0</x:v>
      </x:c>
      <x:c r="L164" s="25" t="n">
        <x:v>0</x:v>
      </x:c>
      <x:c r="M164" s="25" t="n">
        <x:v>0</x:v>
      </x:c>
      <x:c r="N164" s="19" t="str">
        <x:v>https://www.instagram.com/p/DZ9-wvElwMU/</x:v>
      </x:c>
      <x:c r="O164" s="19" t="str"/>
      <x:c r="P164" s="19" t="str">
        <x:v>Ambiguous / incidental</x:v>
      </x:c>
      <x:c r="Q164" s="19" t="str">
        <x:v>No</x:v>
      </x:c>
      <x:c r="R164" s="19" t="str">
        <x:v>Defer</x:v>
      </x:c>
      <x:c r="S164" s="19" t="str">
        <x:v>No</x:v>
      </x:c>
      <x:c r="T164" s="22" t="str">
        <x:v>The brand is discovered through a tag/mention but is not clearly the subject of the caption.</x:v>
      </x:c>
    </x:row>
    <x:row r="165">
      <x:c r="A165" s="9" t="str">
        <x:v>Instagram</x:v>
      </x:c>
      <x:c r="B165" s="10" t="str">
        <x:v>IG hashtag</x:v>
      </x:c>
      <x:c r="C165" s="10" t="str">
        <x:v>3926570557605666722</x:v>
      </x:c>
      <x:c r="D165" s="16" t="n">
        <x:v>46197.515497685185</x:v>
      </x:c>
      <x:c r="E165" s="10" t="str">
        <x:v>mopes_merch</x:v>
      </x:c>
      <x:c r="F165" s="10" t="str">
        <x:v>Image</x:v>
      </x:c>
      <x:c r="G165" s="19" t="str"/>
      <x:c r="H165" s="19" t="str"/>
      <x:c r="I165" s="19" t="str"/>
      <x:c r="J165" s="25" t="n">
        <x:v>0</x:v>
      </x:c>
      <x:c r="K165" s="25" t="n">
        <x:v>0</x:v>
      </x:c>
      <x:c r="L165" s="25" t="n">
        <x:v>0</x:v>
      </x:c>
      <x:c r="M165" s="25" t="n">
        <x:v>0</x:v>
      </x:c>
      <x:c r="N165" s="19" t="str">
        <x:v>https://www.instagram.com/p/DZ9-x5Hl9-i/</x:v>
      </x:c>
      <x:c r="O165" s="19" t="str"/>
      <x:c r="P165" s="19" t="str">
        <x:v>Ambiguous / incidental</x:v>
      </x:c>
      <x:c r="Q165" s="19" t="str">
        <x:v>No</x:v>
      </x:c>
      <x:c r="R165" s="19" t="str">
        <x:v>Defer</x:v>
      </x:c>
      <x:c r="S165" s="19" t="str">
        <x:v>No</x:v>
      </x:c>
      <x:c r="T165" s="22" t="str">
        <x:v>The brand is discovered through a tag/mention but is not clearly the subject of the caption.</x:v>
      </x:c>
    </x:row>
    <x:row r="166">
      <x:c r="A166" s="9" t="str">
        <x:v>Instagram</x:v>
      </x:c>
      <x:c r="B166" s="10" t="str">
        <x:v>IG hashtag</x:v>
      </x:c>
      <x:c r="C166" s="10" t="str">
        <x:v>3926570518187572903</x:v>
      </x:c>
      <x:c r="D166" s="16" t="n">
        <x:v>46197.515497685185</x:v>
      </x:c>
      <x:c r="E166" s="10" t="str">
        <x:v>mopes_merch</x:v>
      </x:c>
      <x:c r="F166" s="10" t="str">
        <x:v>Image</x:v>
      </x:c>
      <x:c r="G166" s="19" t="str"/>
      <x:c r="H166" s="19" t="str"/>
      <x:c r="I166" s="19" t="str"/>
      <x:c r="J166" s="25" t="n">
        <x:v>0</x:v>
      </x:c>
      <x:c r="K166" s="25" t="n">
        <x:v>0</x:v>
      </x:c>
      <x:c r="L166" s="25" t="n">
        <x:v>0</x:v>
      </x:c>
      <x:c r="M166" s="25" t="n">
        <x:v>0</x:v>
      </x:c>
      <x:c r="N166" s="19" t="str">
        <x:v>https://www.instagram.com/p/DZ9-xUaF36n/</x:v>
      </x:c>
      <x:c r="O166" s="19" t="str"/>
      <x:c r="P166" s="19" t="str">
        <x:v>Ambiguous / incidental</x:v>
      </x:c>
      <x:c r="Q166" s="19" t="str">
        <x:v>No</x:v>
      </x:c>
      <x:c r="R166" s="19" t="str">
        <x:v>Defer</x:v>
      </x:c>
      <x:c r="S166" s="19" t="str">
        <x:v>No</x:v>
      </x:c>
      <x:c r="T166" s="22" t="str">
        <x:v>The brand is discovered through a tag/mention but is not clearly the subject of the caption.</x:v>
      </x:c>
    </x:row>
    <x:row r="167">
      <x:c r="A167" s="9" t="str">
        <x:v>Instagram</x:v>
      </x:c>
      <x:c r="B167" s="10" t="str">
        <x:v>IG hashtag</x:v>
      </x:c>
      <x:c r="C167" s="10" t="str">
        <x:v>3926570442606224560</x:v>
      </x:c>
      <x:c r="D167" s="16" t="n">
        <x:v>46197.515497685185</x:v>
      </x:c>
      <x:c r="E167" s="10" t="str">
        <x:v>mopes_merch</x:v>
      </x:c>
      <x:c r="F167" s="10" t="str">
        <x:v>Image</x:v>
      </x:c>
      <x:c r="G167" s="19" t="str">
        <x:v>Feel the pride in the Metal Up Classic Unisex Pullover Hoodie | The Patriotic Peace Hoodie - $35, soft, bold, and made to turn heads!!! 🇺🇸🔥 Slip into one and be part of the vibe!!! 🤘🧥 Click the link in our bio to shop now! 🛍️ #PatrioticFashion #MetalUpHoodie #UnisexHoodie #PatrioticClothes #AmericanApparel #PeaceHoodie #BoldStyle</x:v>
      </x:c>
      <x:c r="H167" s="19" t="str">
        <x:v>#PatrioticFashion #MetalUpHoodie #UnisexHoodie #PatrioticClothes #AmericanApparel #PeaceHoodie #BoldStyle</x:v>
      </x:c>
      <x:c r="I167" s="19" t="str"/>
      <x:c r="J167" s="25" t="n">
        <x:v>0</x:v>
      </x:c>
      <x:c r="K167" s="25" t="n">
        <x:v>0</x:v>
      </x:c>
      <x:c r="L167" s="25" t="n">
        <x:v>0</x:v>
      </x:c>
      <x:c r="M167" s="25" t="n">
        <x:v>0</x:v>
      </x:c>
      <x:c r="N167" s="19" t="str">
        <x:v>https://www.instagram.com/p/DZ9-wOBF6Sw/</x:v>
      </x:c>
      <x:c r="O167" s="19" t="str">
        <x:v>Hoodie</x:v>
      </x:c>
      <x:c r="P167" s="19" t="str">
        <x:v>Likely relevant</x:v>
      </x:c>
      <x:c r="Q167" s="19" t="str">
        <x:v>No</x:v>
      </x:c>
      <x:c r="R167" s="19" t="str">
        <x:v>Keep post; no comments</x:v>
      </x:c>
      <x:c r="S167" s="19" t="str">
        <x:v>No</x:v>
      </x:c>
      <x:c r="T167" s="22" t="str">
        <x:v>The post explicitly names/tags American Apparel or an identified AA product/style.</x:v>
      </x:c>
    </x:row>
    <x:row r="168">
      <x:c r="A168" s="9" t="str">
        <x:v>Instagram</x:v>
      </x:c>
      <x:c r="B168" s="10" t="str">
        <x:v>IG hashtag</x:v>
      </x:c>
      <x:c r="C168" s="10" t="str">
        <x:v>3926570615101178314</x:v>
      </x:c>
      <x:c r="D168" s="16" t="n">
        <x:v>46197.515497685185</x:v>
      </x:c>
      <x:c r="E168" s="10" t="str">
        <x:v>mopes_merch</x:v>
      </x:c>
      <x:c r="F168" s="10" t="str">
        <x:v>Image</x:v>
      </x:c>
      <x:c r="G168" s="19" t="str"/>
      <x:c r="H168" s="19" t="str"/>
      <x:c r="I168" s="19" t="str"/>
      <x:c r="J168" s="25" t="n">
        <x:v>0</x:v>
      </x:c>
      <x:c r="K168" s="25" t="n">
        <x:v>0</x:v>
      </x:c>
      <x:c r="L168" s="25" t="n">
        <x:v>0</x:v>
      </x:c>
      <x:c r="M168" s="25" t="n">
        <x:v>0</x:v>
      </x:c>
      <x:c r="N168" s="19" t="str">
        <x:v>https://www.instagram.com/p/DZ9-yuql8HK/</x:v>
      </x:c>
      <x:c r="O168" s="19" t="str"/>
      <x:c r="P168" s="19" t="str">
        <x:v>Ambiguous / incidental</x:v>
      </x:c>
      <x:c r="Q168" s="19" t="str">
        <x:v>No</x:v>
      </x:c>
      <x:c r="R168" s="19" t="str">
        <x:v>Defer</x:v>
      </x:c>
      <x:c r="S168" s="19" t="str">
        <x:v>No</x:v>
      </x:c>
      <x:c r="T168" s="22" t="str">
        <x:v>The brand is discovered through a tag/mention but is not clearly the subject of the caption.</x:v>
      </x:c>
    </x:row>
    <x:row r="169">
      <x:c r="A169" s="9" t="str">
        <x:v>Instagram</x:v>
      </x:c>
      <x:c r="B169" s="10" t="str">
        <x:v>IG hashtag</x:v>
      </x:c>
      <x:c r="C169" s="10" t="str">
        <x:v>3926570803626744038</x:v>
      </x:c>
      <x:c r="D169" s="16" t="n">
        <x:v>46197.515497685185</x:v>
      </x:c>
      <x:c r="E169" s="10" t="str">
        <x:v>mopes_merch</x:v>
      </x:c>
      <x:c r="F169" s="10" t="str">
        <x:v>Sidecar</x:v>
      </x:c>
      <x:c r="G169" s="19" t="str">
        <x:v>Feel the pride in the Metal Up Classic Unisex Pullover Hoodie | The Patriotic Peace Hoodie - $35, soft, bold, and made to turn heads!!! 🇺🇸🔥 Slip into one and be part of the vibe!!! 🤘🧥 Click the link in our bio to shop now! 🛍️ #PatrioticFashion #MetalUpHoodie #UnisexHoodie #PatrioticClothes #AmericanApparel #PeaceHoodie #BoldStyle</x:v>
      </x:c>
      <x:c r="H169" s="19" t="str">
        <x:v>#PatrioticFashion #MetalUpHoodie #UnisexHoodie #PatrioticClothes #AmericanApparel #PeaceHoodie #BoldStyle</x:v>
      </x:c>
      <x:c r="I169" s="19" t="str"/>
      <x:c r="J169" s="25" t="n">
        <x:v>0</x:v>
      </x:c>
      <x:c r="K169" s="25" t="n">
        <x:v>0</x:v>
      </x:c>
      <x:c r="L169" s="25" t="n">
        <x:v>0</x:v>
      </x:c>
      <x:c r="M169" s="25" t="n">
        <x:v>0</x:v>
      </x:c>
      <x:c r="N169" s="19" t="str">
        <x:v>https://www.instagram.com/p/DZ9-1ePl5jm/</x:v>
      </x:c>
      <x:c r="O169" s="19" t="str">
        <x:v>Hoodie</x:v>
      </x:c>
      <x:c r="P169" s="19" t="str">
        <x:v>Likely relevant</x:v>
      </x:c>
      <x:c r="Q169" s="19" t="str">
        <x:v>No</x:v>
      </x:c>
      <x:c r="R169" s="19" t="str">
        <x:v>Keep post; no comments</x:v>
      </x:c>
      <x:c r="S169" s="19" t="str">
        <x:v>No</x:v>
      </x:c>
      <x:c r="T169" s="22" t="str">
        <x:v>The post explicitly names/tags American Apparel or an identified AA product/style.</x:v>
      </x:c>
    </x:row>
    <x:row r="170">
      <x:c r="A170" s="9" t="str">
        <x:v>Instagram</x:v>
      </x:c>
      <x:c r="B170" s="10" t="str">
        <x:v>IG hashtag</x:v>
      </x:c>
      <x:c r="C170" s="10" t="str">
        <x:v>3926570781044631147</x:v>
      </x:c>
      <x:c r="D170" s="16" t="n">
        <x:v>46197.515497685185</x:v>
      </x:c>
      <x:c r="E170" s="10" t="str">
        <x:v>mopes_merch</x:v>
      </x:c>
      <x:c r="F170" s="10" t="str">
        <x:v>Image</x:v>
      </x:c>
      <x:c r="G170" s="19" t="str"/>
      <x:c r="H170" s="19" t="str"/>
      <x:c r="I170" s="19" t="str"/>
      <x:c r="J170" s="25" t="n">
        <x:v>0</x:v>
      </x:c>
      <x:c r="K170" s="25" t="n">
        <x:v>0</x:v>
      </x:c>
      <x:c r="L170" s="25" t="n">
        <x:v>0</x:v>
      </x:c>
      <x:c r="M170" s="25" t="n">
        <x:v>0</x:v>
      </x:c>
      <x:c r="N170" s="19" t="str">
        <x:v>https://www.instagram.com/p/DZ9-1JNl-Zr/</x:v>
      </x:c>
      <x:c r="O170" s="19" t="str"/>
      <x:c r="P170" s="19" t="str">
        <x:v>Ambiguous / incidental</x:v>
      </x:c>
      <x:c r="Q170" s="19" t="str">
        <x:v>No</x:v>
      </x:c>
      <x:c r="R170" s="19" t="str">
        <x:v>Defer</x:v>
      </x:c>
      <x:c r="S170" s="19" t="str">
        <x:v>No</x:v>
      </x:c>
      <x:c r="T170" s="22" t="str">
        <x:v>The brand is discovered through a tag/mention but is not clearly the subject of the caption.</x:v>
      </x:c>
    </x:row>
    <x:row r="171">
      <x:c r="A171" s="9" t="str">
        <x:v>Instagram</x:v>
      </x:c>
      <x:c r="B171" s="10" t="str">
        <x:v>IG hashtag</x:v>
      </x:c>
      <x:c r="C171" s="10" t="str">
        <x:v>3926570701042458611</x:v>
      </x:c>
      <x:c r="D171" s="16" t="n">
        <x:v>46197.515497685185</x:v>
      </x:c>
      <x:c r="E171" s="10" t="str">
        <x:v>mopes_merch</x:v>
      </x:c>
      <x:c r="F171" s="10" t="str">
        <x:v>Image</x:v>
      </x:c>
      <x:c r="G171" s="19" t="str"/>
      <x:c r="H171" s="19" t="str"/>
      <x:c r="I171" s="19" t="str"/>
      <x:c r="J171" s="25" t="n">
        <x:v>0</x:v>
      </x:c>
      <x:c r="K171" s="25" t="n">
        <x:v>0</x:v>
      </x:c>
      <x:c r="L171" s="25" t="n">
        <x:v>0</x:v>
      </x:c>
      <x:c r="M171" s="25" t="n">
        <x:v>0</x:v>
      </x:c>
      <x:c r="N171" s="19" t="str">
        <x:v>https://www.instagram.com/p/DZ9-z-tF5_z/</x:v>
      </x:c>
      <x:c r="O171" s="19" t="str"/>
      <x:c r="P171" s="19" t="str">
        <x:v>Ambiguous / incidental</x:v>
      </x:c>
      <x:c r="Q171" s="19" t="str">
        <x:v>No</x:v>
      </x:c>
      <x:c r="R171" s="19" t="str">
        <x:v>Defer</x:v>
      </x:c>
      <x:c r="S171" s="19" t="str">
        <x:v>No</x:v>
      </x:c>
      <x:c r="T171" s="22" t="str">
        <x:v>The brand is discovered through a tag/mention but is not clearly the subject of the caption.</x:v>
      </x:c>
    </x:row>
    <x:row r="172">
      <x:c r="A172" s="9" t="str">
        <x:v>Instagram</x:v>
      </x:c>
      <x:c r="B172" s="10" t="str">
        <x:v>IG hashtag</x:v>
      </x:c>
      <x:c r="C172" s="10" t="str">
        <x:v>3926570740024295415</x:v>
      </x:c>
      <x:c r="D172" s="16" t="n">
        <x:v>46197.515497685185</x:v>
      </x:c>
      <x:c r="E172" s="10" t="str">
        <x:v>mopes_merch</x:v>
      </x:c>
      <x:c r="F172" s="10" t="str">
        <x:v>Image</x:v>
      </x:c>
      <x:c r="G172" s="19" t="str"/>
      <x:c r="H172" s="19" t="str"/>
      <x:c r="I172" s="19" t="str"/>
      <x:c r="J172" s="25" t="n">
        <x:v>0</x:v>
      </x:c>
      <x:c r="K172" s="25" t="n">
        <x:v>0</x:v>
      </x:c>
      <x:c r="L172" s="25" t="n">
        <x:v>0</x:v>
      </x:c>
      <x:c r="M172" s="25" t="n">
        <x:v>0</x:v>
      </x:c>
      <x:c r="N172" s="19" t="str">
        <x:v>https://www.instagram.com/p/DZ9-0jAlz_3/</x:v>
      </x:c>
      <x:c r="O172" s="19" t="str"/>
      <x:c r="P172" s="19" t="str">
        <x:v>Ambiguous / incidental</x:v>
      </x:c>
      <x:c r="Q172" s="19" t="str">
        <x:v>No</x:v>
      </x:c>
      <x:c r="R172" s="19" t="str">
        <x:v>Defer</x:v>
      </x:c>
      <x:c r="S172" s="19" t="str">
        <x:v>No</x:v>
      </x:c>
      <x:c r="T172" s="22" t="str">
        <x:v>The brand is discovered through a tag/mention but is not clearly the subject of the caption.</x:v>
      </x:c>
    </x:row>
    <x:row r="173">
      <x:c r="A173" s="9" t="str">
        <x:v>TikTok</x:v>
      </x:c>
      <x:c r="B173" s="10" t="str">
        <x:v>TikTok hashtag — validation</x:v>
      </x:c>
      <x:c r="C173" s="10" t="str">
        <x:v>7654960588744953119</x:v>
      </x:c>
      <x:c r="D173" s="16" t="n">
        <x:v>46197.58118055556</x:v>
      </x:c>
      <x:c r="E173" s="10" t="str">
        <x:v>losangelesornewyorkcity</x:v>
      </x:c>
      <x:c r="F173" s="10" t="str">
        <x:v>Video</x:v>
      </x:c>
      <x:c r="G173" s="19" t="str">
        <x:v>make american apparel great again #americanapparel #tumblraesthetic #moodboard #2000s</x:v>
      </x:c>
      <x:c r="H173" s="19" t="str">
        <x:v>#americanapparel #tumblraesthetic #moodboard #2000s</x:v>
      </x:c>
      <x:c r="I173" s="19" t="str"/>
      <x:c r="J173" s="25" t="n">
        <x:v>0</x:v>
      </x:c>
      <x:c r="K173" s="25" t="n">
        <x:v>292</x:v>
      </x:c>
      <x:c r="L173" s="25" t="n">
        <x:v>1765</x:v>
      </x:c>
      <x:c r="M173" s="25" t="n">
        <x:v>1</x:v>
      </x:c>
      <x:c r="N173" s="19" t="str">
        <x:v>https://www.tiktok.com/@losangelesornewyorkcity/video/7654960588744953119</x:v>
      </x:c>
      <x:c r="O173" s="19" t="str"/>
      <x:c r="P173" s="19" t="str">
        <x:v>Likely relevant</x:v>
      </x:c>
      <x:c r="Q173" s="19" t="str">
        <x:v>Yes — explicit revival/dead/awareness language</x:v>
      </x:c>
      <x:c r="R173" s="19" t="str">
        <x:v>Keep post; no comments</x:v>
      </x:c>
      <x:c r="S173" s="19" t="str">
        <x:v>Yes</x:v>
      </x:c>
      <x:c r="T173" s="22" t="str">
        <x:v>The post explicitly names/tags American Apparel or an identified AA product/style.</x:v>
      </x:c>
    </x:row>
    <x:row r="174">
      <x:c r="A174" s="9" t="str">
        <x:v>Instagram</x:v>
      </x:c>
      <x:c r="B174" s="10" t="str">
        <x:v>IG hashtag</x:v>
      </x:c>
      <x:c r="C174" s="10" t="str">
        <x:v>3926664093034038546</x:v>
      </x:c>
      <x:c r="D174" s="16" t="n">
        <x:v>46197.64418981481</x:v>
      </x:c>
      <x:c r="E174" s="10" t="str">
        <x:v>sixsensestudio.id</x:v>
      </x:c>
      <x:c r="F174" s="10" t="str">
        <x:v>Sidecar</x:v>
      </x:c>
      <x:c r="G174" s="19" t="str">
        <x:v>(AVAILABLE ) BUNDLE DESIGN FOR SALE🚨 Want this vibe for your brand? Slide to see other, then hit me on DM! [CODE: 014] • Exclusive for one buyer • All text can be changed • Colors can be changed • Digital Product, PNG/PSD Files #designforsales #clothingdesigner #graphicdesigner #americanapparel #streetweardesign</x:v>
      </x:c>
      <x:c r="H174" s="19" t="str">
        <x:v>#designforsales #clothingdesigner #graphicdesigner #americanapparel #streetweardesign</x:v>
      </x:c>
      <x:c r="I174" s="19" t="str"/>
      <x:c r="J174" s="25" t="n">
        <x:v>0</x:v>
      </x:c>
      <x:c r="K174" s="25" t="n">
        <x:v>4</x:v>
      </x:c>
      <x:c r="L174" s="25" t="n">
        <x:v>0</x:v>
      </x:c>
      <x:c r="M174" s="25" t="n">
        <x:v>0</x:v>
      </x:c>
      <x:c r="N174" s="19" t="str">
        <x:v>https://www.instagram.com/p/DZ-UDAxk0US/</x:v>
      </x:c>
      <x:c r="O174" s="19" t="str"/>
      <x:c r="P174" s="19" t="str">
        <x:v>Design-sale noise</x:v>
      </x:c>
      <x:c r="Q174" s="19" t="str">
        <x:v>No</x:v>
      </x:c>
      <x:c r="R174" s="19" t="str">
        <x:v>Skip</x:v>
      </x:c>
      <x:c r="S174" s="19" t="str">
        <x:v>No</x:v>
      </x:c>
      <x:c r="T174" s="22" t="str">
        <x:v>Design/mockup sale language; not consumer discussion of American Apparel.</x:v>
      </x:c>
    </x:row>
    <x:row r="175">
      <x:c r="A175" s="9" t="str">
        <x:v>Instagram</x:v>
      </x:c>
      <x:c r="B175" s="10" t="str">
        <x:v>IG hashtag</x:v>
      </x:c>
      <x:c r="C175" s="10" t="str">
        <x:v>3926691184218539289</x:v>
      </x:c>
      <x:c r="D175" s="16" t="n">
        <x:v>46197.68157407407</x:v>
      </x:c>
      <x:c r="E175" s="10" t="str">
        <x:v>godin.jpg</x:v>
      </x:c>
      <x:c r="F175" s="10" t="str">
        <x:v>Sidecar</x:v>
      </x:c>
      <x:c r="G175"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175" s="19" t="str">
        <x:v>#designforsale #clothingbrand #designs #streetwearbrand #streetwear #streetweardesigner #usastreetwear #americanapparel #urbanfashion #fashiondesigners</x:v>
      </x:c>
      <x:c r="I175" s="19" t="str"/>
      <x:c r="J175" s="25" t="n">
        <x:v>0</x:v>
      </x:c>
      <x:c r="K175" s="25" t="n">
        <x:v>3</x:v>
      </x:c>
      <x:c r="L175" s="25" t="n">
        <x:v>0</x:v>
      </x:c>
      <x:c r="M175" s="25" t="n">
        <x:v>0</x:v>
      </x:c>
      <x:c r="N175" s="19" t="str">
        <x:v>https://www.instagram.com/p/DZ-aNPaAQUZ/</x:v>
      </x:c>
      <x:c r="O175" s="19" t="str"/>
      <x:c r="P175" s="19" t="str">
        <x:v>Design-sale noise</x:v>
      </x:c>
      <x:c r="Q175" s="19" t="str">
        <x:v>No</x:v>
      </x:c>
      <x:c r="R175" s="19" t="str">
        <x:v>Skip</x:v>
      </x:c>
      <x:c r="S175" s="19" t="str">
        <x:v>No</x:v>
      </x:c>
      <x:c r="T175" s="22" t="str">
        <x:v>Design/mockup sale language; not consumer discussion of American Apparel.</x:v>
      </x:c>
    </x:row>
    <x:row r="176">
      <x:c r="A176" s="9" t="str">
        <x:v>Instagram</x:v>
      </x:c>
      <x:c r="B176" s="10" t="str">
        <x:v>IG hashtag</x:v>
      </x:c>
      <x:c r="C176" s="10" t="str">
        <x:v>3926710765731008339</x:v>
      </x:c>
      <x:c r="D176" s="16" t="n">
        <x:v>46197.708865740744</x:v>
      </x:c>
      <x:c r="E176" s="10" t="str">
        <x:v>sunactiveinc</x:v>
      </x:c>
      <x:c r="F176" s="10" t="str">
        <x:v>Image</x:v>
      </x:c>
      <x:c r="G176" s="19" t="str">
        <x:v>Big events mean big demand for blanks that deliver. The American Apparel adult tee offers a refined fit and print-ready surface: built for merch runs, team orders, and high-volume promos. Consistent quality makes reorders straightforward. Add premium blanks to your next wholesale order.⁠ ⁠ Style: SA-A28⁠ -⁠ sunactive.com/shirts⁠ (213) 741-9353⁠ ⁠ #SunActiveBrand #WholesaleBlanks #BlankTees #AmericanApparel #PremiumBlanks #EventMerch #PrintReady #BulkApparel</x:v>
      </x:c>
      <x:c r="H176" s="19" t="str">
        <x:v>#SunActiveBrand #WholesaleBlanks #BlankTees #AmericanApparel #PremiumBlanks #EventMerch #PrintReady #BulkApparel</x:v>
      </x:c>
      <x:c r="I176" s="19" t="str"/>
      <x:c r="J176" s="25" t="n">
        <x:v>0</x:v>
      </x:c>
      <x:c r="K176" s="25" t="n">
        <x:v>0</x:v>
      </x:c>
      <x:c r="L176" s="25" t="n">
        <x:v>0</x:v>
      </x:c>
      <x:c r="M176" s="25" t="n">
        <x:v>0</x:v>
      </x:c>
      <x:c r="N176" s="19" t="str">
        <x:v>https://www.instagram.com/p/DZ-eqMHGU9T/</x:v>
      </x:c>
      <x:c r="O176" s="19" t="str">
        <x:v>Blanks</x:v>
      </x:c>
      <x:c r="P176" s="19" t="str">
        <x:v>Likely relevant</x:v>
      </x:c>
      <x:c r="Q176" s="19" t="str">
        <x:v>No</x:v>
      </x:c>
      <x:c r="R176" s="19" t="str">
        <x:v>Keep post; no comments</x:v>
      </x:c>
      <x:c r="S176" s="19" t="str">
        <x:v>No</x:v>
      </x:c>
      <x:c r="T176" s="22" t="str">
        <x:v>The post explicitly names/tags American Apparel or an identified AA product/style.</x:v>
      </x:c>
    </x:row>
    <x:row r="177">
      <x:c r="A177" s="9" t="str">
        <x:v>Instagram</x:v>
      </x:c>
      <x:c r="B177" s="10" t="str">
        <x:v>IG mention</x:v>
      </x:c>
      <x:c r="C177" s="10" t="str">
        <x:v>3927198280504818472</x:v>
      </x:c>
      <x:c r="D177" s="16" t="n">
        <x:v>46198.38582175926</x:v>
      </x:c>
      <x:c r="E177" s="10" t="str">
        <x:v>no.socks.no.panties</x:v>
      </x:c>
      <x:c r="F177" s="10" t="str">
        <x:v>Image</x:v>
      </x:c>
      <x:c r="G177" s="19" t="str">
        <x:v>#hotinthecity frottee-einteiler in kühlem grün von american apparel ein gürtel paßt gut dazu, hier von bally aus fliederfarbenem wildleder, vintage. dazu eine grüne sonnenbrille, marc by marc jacobs = #perfectsummeroutfit #summeressentials #nosocksnopanties #preloved</x:v>
      </x:c>
      <x:c r="H177" s="19" t="str">
        <x:v>#hotinthecity #perfectsummeroutfit #summeressentials #nosocksnopanties #preloved</x:v>
      </x:c>
      <x:c r="I177" s="19" t="str">
        <x:v>@americanapparel @bally @no.socks.no.panties</x:v>
      </x:c>
      <x:c r="J177" s="25" t="n">
        <x:v>0</x:v>
      </x:c>
      <x:c r="K177" s="25" t="n">
        <x:v>9</x:v>
      </x:c>
      <x:c r="L177" s="25" t="n">
        <x:v>0</x:v>
      </x:c>
      <x:c r="M177" s="25" t="n">
        <x:v>0</x:v>
      </x:c>
      <x:c r="N177" s="19" t="str">
        <x:v>https://www.instagram.com/p/DaANgdoA7so/</x:v>
      </x:c>
      <x:c r="O177" s="19" t="str"/>
      <x:c r="P177" s="19" t="str">
        <x:v>Likely relevant</x:v>
      </x:c>
      <x:c r="Q177" s="19" t="str">
        <x:v>No</x:v>
      </x:c>
      <x:c r="R177" s="19" t="str">
        <x:v>Keep post; no comments</x:v>
      </x:c>
      <x:c r="S177" s="19" t="str">
        <x:v>No</x:v>
      </x:c>
      <x:c r="T177" s="22" t="str">
        <x:v>The post explicitly names/tags American Apparel or an identified AA product/style.</x:v>
      </x:c>
    </x:row>
    <x:row r="178">
      <x:c r="A178" s="9" t="str">
        <x:v>Instagram</x:v>
      </x:c>
      <x:c r="B178" s="10" t="str">
        <x:v>IG hashtag</x:v>
      </x:c>
      <x:c r="C178" s="10" t="str">
        <x:v>3927280387982948549</x:v>
      </x:c>
      <x:c r="D178" s="16" t="n">
        <x:v>46198.49451388889</x:v>
      </x:c>
      <x:c r="E178" s="10" t="str">
        <x:v>voidworks.usa</x:v>
      </x:c>
      <x:c r="F178" s="10" t="str">
        <x:v>Sidecar</x:v>
      </x:c>
      <x:c r="G178"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V023 #americanapparel #streetwear #clothing #unitedstates #clothingbrand</x:v>
      </x:c>
      <x:c r="H178" s="19" t="str">
        <x:v>#americanapparel #streetwear #clothing #unitedstates #clothingbrand</x:v>
      </x:c>
      <x:c r="I178" s="19" t="str"/>
      <x:c r="J178" s="25" t="n">
        <x:v>0</x:v>
      </x:c>
      <x:c r="K178" s="25" t="n">
        <x:v>1</x:v>
      </x:c>
      <x:c r="L178" s="25" t="n">
        <x:v>0</x:v>
      </x:c>
      <x:c r="M178" s="25" t="n">
        <x:v>0</x:v>
      </x:c>
      <x:c r="N178" s="19" t="str">
        <x:v>https://www.instagram.com/p/DaAgLSLFPjF/</x:v>
      </x:c>
      <x:c r="O178" s="19" t="str"/>
      <x:c r="P178" s="19" t="str">
        <x:v>Design-sale noise</x:v>
      </x:c>
      <x:c r="Q178" s="19" t="str">
        <x:v>No</x:v>
      </x:c>
      <x:c r="R178" s="19" t="str">
        <x:v>Skip</x:v>
      </x:c>
      <x:c r="S178" s="19" t="str">
        <x:v>No</x:v>
      </x:c>
      <x:c r="T178" s="22" t="str">
        <x:v>Design/mockup sale language; not consumer discussion of American Apparel.</x:v>
      </x:c>
    </x:row>
    <x:row r="179">
      <x:c r="A179" s="9" t="str">
        <x:v>Instagram</x:v>
      </x:c>
      <x:c r="B179" s="10" t="str">
        <x:v>IG hashtag</x:v>
      </x:c>
      <x:c r="C179" s="10" t="str">
        <x:v>3927628134572625882</x:v>
      </x:c>
      <x:c r="D179" s="16" t="n">
        <x:v>46198.97431712963</x:v>
      </x:c>
      <x:c r="E179" s="10" t="str">
        <x:v>americaapparels</x:v>
      </x:c>
      <x:c r="F179" s="10" t="str">
        <x:v>Sidecar</x:v>
      </x:c>
      <x:c r="G179" s="19" t="str">
        <x:v>We are Manufacturer &amp; Supplier If anyone wants to work with us we can start with a sample @americaapparels #americanapparel #american #apparel #tshirt #tshirts</x:v>
      </x:c>
      <x:c r="H179" s="19" t="str">
        <x:v>#americanapparel #american #apparel #tshirt #tshirts</x:v>
      </x:c>
      <x:c r="I179" s="19" t="str">
        <x:v>@americaapparels</x:v>
      </x:c>
      <x:c r="J179" s="25" t="n">
        <x:v>0</x:v>
      </x:c>
      <x:c r="K179" s="25" t="n">
        <x:v>1</x:v>
      </x:c>
      <x:c r="L179" s="25" t="n">
        <x:v>0</x:v>
      </x:c>
      <x:c r="M179" s="25" t="n">
        <x:v>0</x:v>
      </x:c>
      <x:c r="N179" s="19" t="str">
        <x:v>https://www.instagram.com/p/DaBvPqbCA_a/</x:v>
      </x:c>
      <x:c r="O179" s="19" t="str"/>
      <x:c r="P179" s="19" t="str">
        <x:v>Likely relevant</x:v>
      </x:c>
      <x:c r="Q179" s="19" t="str">
        <x:v>No</x:v>
      </x:c>
      <x:c r="R179" s="19" t="str">
        <x:v>Keep post; no comments</x:v>
      </x:c>
      <x:c r="S179" s="19" t="str">
        <x:v>No</x:v>
      </x:c>
      <x:c r="T179" s="22" t="str">
        <x:v>The post explicitly names/tags American Apparel or an identified AA product/style.</x:v>
      </x:c>
    </x:row>
    <x:row r="180">
      <x:c r="A180" s="9" t="str">
        <x:v>Instagram</x:v>
      </x:c>
      <x:c r="B180" s="10" t="str">
        <x:v>IG hashtag</x:v>
      </x:c>
      <x:c r="C180" s="10" t="str">
        <x:v>3928016290875473947</x:v>
      </x:c>
      <x:c r="D180" s="16" t="n">
        <x:v>46199.50987268519</x:v>
      </x:c>
      <x:c r="E180" s="10" t="str">
        <x:v>voidworks.usa</x:v>
      </x:c>
      <x:c r="F180" s="10" t="str">
        <x:v>Sidecar</x:v>
      </x:c>
      <x:c r="G180"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V024 #americanapparel #streetwear #clothing #unitedstates #clothingbrand</x:v>
      </x:c>
      <x:c r="H180" s="19" t="str">
        <x:v>#americanapparel #streetwear #clothing #unitedstates #clothingbrand</x:v>
      </x:c>
      <x:c r="I180" s="19" t="str"/>
      <x:c r="J180" s="25" t="n">
        <x:v>0</x:v>
      </x:c>
      <x:c r="K180" s="25" t="n">
        <x:v>1</x:v>
      </x:c>
      <x:c r="L180" s="25" t="n">
        <x:v>0</x:v>
      </x:c>
      <x:c r="M180" s="25" t="n">
        <x:v>0</x:v>
      </x:c>
      <x:c r="N180" s="19" t="str">
        <x:v>https://www.instagram.com/p/DaDHgFJlIAb/</x:v>
      </x:c>
      <x:c r="O180" s="19" t="str"/>
      <x:c r="P180" s="19" t="str">
        <x:v>Design-sale noise</x:v>
      </x:c>
      <x:c r="Q180" s="19" t="str">
        <x:v>No</x:v>
      </x:c>
      <x:c r="R180" s="19" t="str">
        <x:v>Skip</x:v>
      </x:c>
      <x:c r="S180" s="19" t="str">
        <x:v>No</x:v>
      </x:c>
      <x:c r="T180" s="22" t="str">
        <x:v>Design/mockup sale language; not consumer discussion of American Apparel.</x:v>
      </x:c>
    </x:row>
    <x:row r="181">
      <x:c r="A181" s="9" t="str">
        <x:v>Instagram</x:v>
      </x:c>
      <x:c r="B181" s="10" t="str">
        <x:v>IG mention</x:v>
      </x:c>
      <x:c r="C181" s="10" t="str">
        <x:v>3928027744874112865</x:v>
      </x:c>
      <x:c r="D181" s="16" t="n">
        <x:v>46199.525671296295</x:v>
      </x:c>
      <x:c r="E181" s="10" t="str">
        <x:v>__astarrynight</x:v>
      </x:c>
      <x:c r="F181" s="10" t="str">
        <x:v>Sidecar</x:v>
      </x:c>
      <x:c r="G181" s="19" t="str">
        <x:v>áo American Apparel Allen Iverson step over Tyronn Lue sketch Size L. Vai 51, ngang 52, dài 67cm. Mới. ❣️229k #basketball #nba #thunmy #dosi #2hand</x:v>
      </x:c>
      <x:c r="H181" s="19" t="str">
        <x:v>#basketball #nba #thunmy #dosi #2hand</x:v>
      </x:c>
      <x:c r="I181" s="19" t="str">
        <x:v>@americanapparel</x:v>
      </x:c>
      <x:c r="J181" s="25" t="n">
        <x:v>0</x:v>
      </x:c>
      <x:c r="K181" s="25" t="n">
        <x:v>1</x:v>
      </x:c>
      <x:c r="L181" s="25" t="n">
        <x:v>0</x:v>
      </x:c>
      <x:c r="M181" s="25" t="n">
        <x:v>0</x:v>
      </x:c>
      <x:c r="N181" s="19" t="str">
        <x:v>https://www.instagram.com/p/DaDKGwhGadh/</x:v>
      </x:c>
      <x:c r="O181" s="19" t="str"/>
      <x:c r="P181" s="19" t="str">
        <x:v>Likely relevant</x:v>
      </x:c>
      <x:c r="Q181" s="19" t="str">
        <x:v>No</x:v>
      </x:c>
      <x:c r="R181" s="19" t="str">
        <x:v>Keep post; no comments</x:v>
      </x:c>
      <x:c r="S181" s="19" t="str">
        <x:v>No</x:v>
      </x:c>
      <x:c r="T181" s="22" t="str">
        <x:v>The post explicitly names/tags American Apparel or an identified AA product/style.</x:v>
      </x:c>
    </x:row>
    <x:row r="182">
      <x:c r="A182" s="9" t="str">
        <x:v>Instagram</x:v>
      </x:c>
      <x:c r="B182" s="10" t="str">
        <x:v>IG hashtag</x:v>
      </x:c>
      <x:c r="C182" s="10" t="str">
        <x:v>3928119559380066329</x:v>
      </x:c>
      <x:c r="D182" s="16" t="n">
        <x:v>46199.652349537035</x:v>
      </x:c>
      <x:c r="E182" s="10" t="str">
        <x:v>trouve2244</x:v>
      </x:c>
      <x:c r="F182" s="10" t="str">
        <x:v>Image</x:v>
      </x:c>
      <x:c r="G182" s="19" t="str">
        <x:v>Red, white &amp; trouvé. 🇺🇸 Our Americana edit is up now — vintage denim, candy-stripe scarves and Fourth of July fits, just for you. Come style your long weekend. ✦ 3828 Cockrell Ave, Fort Worth. #fortworth #fortworthtx #fwtx #dfw #fortworthshopping #fortworthboutique #shoplocalfortworth #tcu #tcustyle #chaostocouture #vintagefashion #curatedvintage #designerresale #prelovedluxury #thriftedstyle #thriftfinds #4thofjulyweekend #americanapparel #redwhiteandblue</x:v>
      </x:c>
      <x:c r="H182" s="19" t="str">
        <x:v>#fortworth #fortworthtx #fwtx #dfw #fortworthshopping #fortworthboutique #shoplocalfortworth #tcu #tcustyle #chaostocouture #vintagefashion #curatedvintage #designerresale #prelovedluxury #thriftedstyle #thriftfinds #4thofjulyweekend #americanapparel #redwhiteandblue</x:v>
      </x:c>
      <x:c r="I182" s="19" t="str"/>
      <x:c r="J182" s="25" t="n">
        <x:v>0</x:v>
      </x:c>
      <x:c r="K182" s="25" t="n">
        <x:v>9</x:v>
      </x:c>
      <x:c r="L182" s="25" t="n">
        <x:v>0</x:v>
      </x:c>
      <x:c r="M182" s="25" t="n">
        <x:v>0</x:v>
      </x:c>
      <x:c r="N182" s="19" t="str">
        <x:v>https://www.instagram.com/p/DaDe-1cHOAZ/</x:v>
      </x:c>
      <x:c r="O182" s="19" t="str"/>
      <x:c r="P182" s="19" t="str">
        <x:v>Likely relevant</x:v>
      </x:c>
      <x:c r="Q182" s="19" t="str">
        <x:v>No</x:v>
      </x:c>
      <x:c r="R182" s="19" t="str">
        <x:v>Keep post; no comments</x:v>
      </x:c>
      <x:c r="S182" s="19" t="str">
        <x:v>No</x:v>
      </x:c>
      <x:c r="T182" s="22" t="str">
        <x:v>The post explicitly names/tags American Apparel or an identified AA product/style.</x:v>
      </x:c>
    </x:row>
    <x:row r="183">
      <x:c r="A183" s="9" t="str">
        <x:v>Instagram</x:v>
      </x:c>
      <x:c r="B183" s="10" t="str">
        <x:v>IG hashtag</x:v>
      </x:c>
      <x:c r="C183" s="10" t="str">
        <x:v>3928134748522951325</x:v>
      </x:c>
      <x:c r="D183" s="16" t="n">
        <x:v>46199.673310185186</x:v>
      </x:c>
      <x:c r="E183" s="10" t="str">
        <x:v>godin.jpg</x:v>
      </x:c>
      <x:c r="F183" s="10" t="str">
        <x:v>Sidecar</x:v>
      </x:c>
      <x:c r="G183"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183" s="19" t="str">
        <x:v>#designforsale #clothingbrand #designs #streetwearbrand #streetwear #streetweardesigner #usastreetwear #americanapparel #urbanfashion #fashiondesigners</x:v>
      </x:c>
      <x:c r="I183" s="19" t="str"/>
      <x:c r="J183" s="25" t="n">
        <x:v>0</x:v>
      </x:c>
      <x:c r="K183" s="25" t="n">
        <x:v>2</x:v>
      </x:c>
      <x:c r="L183" s="25" t="n">
        <x:v>0</x:v>
      </x:c>
      <x:c r="M183" s="25" t="n">
        <x:v>0</x:v>
      </x:c>
      <x:c r="N183" s="19" t="str">
        <x:v>https://www.instagram.com/p/DaDib3blDKd/</x:v>
      </x:c>
      <x:c r="O183" s="19" t="str"/>
      <x:c r="P183" s="19" t="str">
        <x:v>Design-sale noise</x:v>
      </x:c>
      <x:c r="Q183" s="19" t="str">
        <x:v>No</x:v>
      </x:c>
      <x:c r="R183" s="19" t="str">
        <x:v>Skip</x:v>
      </x:c>
      <x:c r="S183" s="19" t="str">
        <x:v>No</x:v>
      </x:c>
      <x:c r="T183" s="22" t="str">
        <x:v>Design/mockup sale language; not consumer discussion of American Apparel.</x:v>
      </x:c>
    </x:row>
    <x:row r="184">
      <x:c r="A184" s="9" t="str">
        <x:v>Instagram</x:v>
      </x:c>
      <x:c r="B184" s="10" t="str">
        <x:v>IG hashtag</x:v>
      </x:c>
      <x:c r="C184" s="10" t="str">
        <x:v>3928462246170871942</x:v>
      </x:c>
      <x:c r="D184" s="16" t="n">
        <x:v>46200.12517361111</x:v>
      </x:c>
      <x:c r="E184" s="10" t="str">
        <x:v>gildan_bangkokthailand</x:v>
      </x:c>
      <x:c r="F184" s="10" t="str">
        <x:v>Sidecar</x:v>
      </x:c>
      <x:c r="G184" s="19" t="str">
        <x:v>Basketball • Hangout • Party 🏀🌃 หนึ่งตัว ครบทุกโมเมนต์ American Apparel 1301 — California Classic 100% Cotton • Regular Fit • Classic White สอบถามไซส์และสต๊อกได้ทางแชทเลยค่ะ โทร: 0853649795 / 0826953626 Line: @gildanbkk (มีไลน์ @ นำหน้าด้วยนะคะ) อีเมล: gildanofficial789@gmail.com Shopee : https://s.shopee.co.th/60P8ev3SAl #AmericanApparel #AA1301 #CaliforniaClassic #FromDayToNight #เสื้อยืดสีขาว #Gildan</x:v>
      </x:c>
      <x:c r="H184" s="19" t="str">
        <x:v>#AmericanApparel #AA1301 #CaliforniaClassic #FromDayToNight #เสื้อยืดสีขาว #Gildan</x:v>
      </x:c>
      <x:c r="I184" s="19" t="str">
        <x:v>@gildanbkk</x:v>
      </x:c>
      <x:c r="J184" s="25" t="n">
        <x:v>0</x:v>
      </x:c>
      <x:c r="K184" s="25" t="n">
        <x:v>0</x:v>
      </x:c>
      <x:c r="L184" s="25" t="n">
        <x:v>0</x:v>
      </x:c>
      <x:c r="M184" s="25" t="n">
        <x:v>0</x:v>
      </x:c>
      <x:c r="N184" s="19" t="str">
        <x:v>https://www.instagram.com/p/DaEs5lYjEiG/</x:v>
      </x:c>
      <x:c r="O184" s="19" t="str">
        <x:v>1301, California Classic</x:v>
      </x:c>
      <x:c r="P184" s="19" t="str">
        <x:v>Likely relevant</x:v>
      </x:c>
      <x:c r="Q184" s="19" t="str">
        <x:v>No</x:v>
      </x:c>
      <x:c r="R184" s="19" t="str">
        <x:v>Keep post; no comments</x:v>
      </x:c>
      <x:c r="S184" s="19" t="str">
        <x:v>No</x:v>
      </x:c>
      <x:c r="T184" s="22" t="str">
        <x:v>The post explicitly names/tags American Apparel or an identified AA product/style.</x:v>
      </x:c>
    </x:row>
    <x:row r="185">
      <x:c r="A185" s="9" t="str">
        <x:v>Instagram</x:v>
      </x:c>
      <x:c r="B185" s="10" t="str">
        <x:v>IG hashtag</x:v>
      </x:c>
      <x:c r="C185" s="10" t="str">
        <x:v>3928984602118347953</x:v>
      </x:c>
      <x:c r="D185" s="16" t="n">
        <x:v>46200.84625</x:v>
      </x:c>
      <x:c r="E185" s="10" t="str">
        <x:v>madsvaneyck1</x:v>
      </x:c>
      <x:c r="F185" s="10" t="str">
        <x:v>Image</x:v>
      </x:c>
      <x:c r="G185" s="19" t="str">
        <x:v>#model by #window wearing #americanapparel #slavicgirl</x:v>
      </x:c>
      <x:c r="H185" s="19" t="str">
        <x:v>#model #window #americanapparel #slavicgirl</x:v>
      </x:c>
      <x:c r="I185" s="19" t="str"/>
      <x:c r="J185" s="25" t="n">
        <x:v>0</x:v>
      </x:c>
      <x:c r="K185" s="25" t="n">
        <x:v>1</x:v>
      </x:c>
      <x:c r="L185" s="25" t="n">
        <x:v>0</x:v>
      </x:c>
      <x:c r="M185" s="25" t="n">
        <x:v>0</x:v>
      </x:c>
      <x:c r="N185" s="19" t="str">
        <x:v>https://www.instagram.com/p/DaGjq3RPlyx/</x:v>
      </x:c>
      <x:c r="O185" s="19" t="str"/>
      <x:c r="P185" s="19" t="str">
        <x:v>Likely relevant</x:v>
      </x:c>
      <x:c r="Q185" s="19" t="str">
        <x:v>No</x:v>
      </x:c>
      <x:c r="R185" s="19" t="str">
        <x:v>Keep post; no comments</x:v>
      </x:c>
      <x:c r="S185" s="19" t="str">
        <x:v>No</x:v>
      </x:c>
      <x:c r="T185" s="22" t="str">
        <x:v>The post explicitly names/tags American Apparel or an identified AA product/style.</x:v>
      </x:c>
    </x:row>
    <x:row r="186">
      <x:c r="A186" s="9" t="str">
        <x:v>Instagram</x:v>
      </x:c>
      <x:c r="B186" s="10" t="str">
        <x:v>IG hashtag</x:v>
      </x:c>
      <x:c r="C186" s="10" t="str">
        <x:v>3929527041250145188</x:v>
      </x:c>
      <x:c r="D186" s="16" t="n">
        <x:v>46201.594305555554</x:v>
      </x:c>
      <x:c r="E186" s="10" t="str">
        <x:v>piece.of_gam</x:v>
      </x:c>
      <x:c r="F186" s="10" t="str">
        <x:v>Sidecar</x:v>
      </x:c>
      <x:c r="G186" s="19" t="str">
        <x:v>เสื้อกล้ามสุดชิค! 🧘🏻‍♀️✨ เนื้อผ้าใส่สบาย ดีไซน์สกรีนลายสวยเก๋ ด้านหน้าเป็นลายมงคลรูปทรงเรขาคณิต ด้านหลังสกรีนลายจักระทั้ง 7 จุด เสื้อเป็นงานแบรนด์ American Apparel (Tri-Blend Collection) ไซส์ S เนื้อผ้านุ่มยืดหยุ่นได้ดี ช่วยให้เคลื่อนไหวสะดวกเวลาออกกำลังกายหรือทำกิจกรรมต่างๆ ค่ะ รายละเอียดสินค้า: ขนาด: อก 26 นิ้ว (ยืดได้ถึง 32 นิ้ว), ความยาว 21 นิ้ว แบรนด์: American Apparel (Tri-Blend Collection) ดีไซน์: เสื้อกล้ามสีน้ำเงิน สกรีนลายกราฟิก ไซส์: S Price : 45.- สนใจ :ทักไลน์ได้เลยงับ 🫶🏻 #เสื้อกล้าม #เสื้อมือสอง #AmericanApparel #เสื้อผ้ามือสอง #ChakraStyle</x:v>
      </x:c>
      <x:c r="H186" s="19" t="str">
        <x:v>#เสื้อกล้าม #เสื้อมือสอง #AmericanApparel #เสื้อผ้ามือสอง #ChakraStyle</x:v>
      </x:c>
      <x:c r="I186" s="19" t="str"/>
      <x:c r="J186" s="25" t="n">
        <x:v>0</x:v>
      </x:c>
      <x:c r="K186" s="25" t="n">
        <x:v>1</x:v>
      </x:c>
      <x:c r="L186" s="25" t="n">
        <x:v>0</x:v>
      </x:c>
      <x:c r="M186" s="25" t="n">
        <x:v>0</x:v>
      </x:c>
      <x:c r="N186" s="19" t="str">
        <x:v>https://www.instagram.com/p/DaIfAZFAbOk/</x:v>
      </x:c>
      <x:c r="O186" s="19" t="str"/>
      <x:c r="P186" s="19" t="str">
        <x:v>Likely relevant</x:v>
      </x:c>
      <x:c r="Q186" s="19" t="str">
        <x:v>No</x:v>
      </x:c>
      <x:c r="R186" s="19" t="str">
        <x:v>Keep post; no comments</x:v>
      </x:c>
      <x:c r="S186" s="19" t="str">
        <x:v>No</x:v>
      </x:c>
      <x:c r="T186" s="22" t="str">
        <x:v>The post explicitly names/tags American Apparel or an identified AA product/style.</x:v>
      </x:c>
    </x:row>
    <x:row r="187">
      <x:c r="A187" s="9" t="str">
        <x:v>Instagram</x:v>
      </x:c>
      <x:c r="B187" s="10" t="str">
        <x:v>IG hashtag</x:v>
      </x:c>
      <x:c r="C187" s="10" t="str">
        <x:v>3929601757805880212</x:v>
      </x:c>
      <x:c r="D187" s="16" t="n">
        <x:v>46201.69902777778</x:v>
      </x:c>
      <x:c r="E187" s="10" t="str">
        <x:v>shopharperandhoney</x:v>
      </x:c>
      <x:c r="F187" s="10" t="str">
        <x:v>Image</x:v>
      </x:c>
      <x:c r="G187" s="19" t="str">
        <x:v>Wondering what you’ll wear on the Fourth? Don’t worry.. we have got you covered from your head to your toes! Shop American-wear until 4 today or online anytime! Can’t wait to see you! 🇺🇸🇺🇸 #americanapparel #usa🇺🇸 #ballgroundboutique</x:v>
      </x:c>
      <x:c r="H187" s="19" t="str">
        <x:v>#americanapparel #usa🇺🇸 #ballgroundboutique</x:v>
      </x:c>
      <x:c r="I187" s="19" t="str"/>
      <x:c r="J187" s="25" t="n">
        <x:v>0</x:v>
      </x:c>
      <x:c r="K187" s="25" t="n">
        <x:v>-1</x:v>
      </x:c>
      <x:c r="L187" s="25" t="n">
        <x:v>0</x:v>
      </x:c>
      <x:c r="M187" s="25" t="n">
        <x:v>0</x:v>
      </x:c>
      <x:c r="N187" s="19" t="str">
        <x:v>https://www.instagram.com/p/DaIv_qSxSOU/</x:v>
      </x:c>
      <x:c r="O187" s="19" t="str"/>
      <x:c r="P187" s="19" t="str">
        <x:v>Likely relevant</x:v>
      </x:c>
      <x:c r="Q187" s="19" t="str">
        <x:v>No</x:v>
      </x:c>
      <x:c r="R187" s="19" t="str">
        <x:v>Keep post; no comments</x:v>
      </x:c>
      <x:c r="S187" s="19" t="str">
        <x:v>No</x:v>
      </x:c>
      <x:c r="T187" s="22" t="str">
        <x:v>The post explicitly names/tags American Apparel or an identified AA product/style.</x:v>
      </x:c>
    </x:row>
    <x:row r="188">
      <x:c r="A188" s="9" t="str">
        <x:v>Instagram</x:v>
      </x:c>
      <x:c r="B188" s="10" t="str">
        <x:v>IG hashtag</x:v>
      </x:c>
      <x:c r="C188" s="10" t="str">
        <x:v>3929882418522747542</x:v>
      </x:c>
      <x:c r="D188" s="16" t="n">
        <x:v>46202.08462962963</x:v>
      </x:c>
      <x:c r="E188" s="10" t="str">
        <x:v>gildan_korea</x:v>
      </x:c>
      <x:c r="F188" s="10" t="str">
        <x:v>Sidecar</x:v>
      </x:c>
      <x:c r="G188" s="19" t="str">
        <x:v>두께감 정말 톡톡해서 절대 싸구려 티 안 나고 #무지티 지만 하나로도 충분히 괜찮은 #오버핏 #반팔티 🧡 뱃살쟁이들에게 추천해요 휙휙 휘감기지 않는 천이👍🏿🙆🏼‍♀️ 𝘛𝘩𝑎𝘯𝘬𝑠 𝑡𝑜 @kimdddda #아메리칸어패럴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H188" s="19" t="str">
        <x:v>#무지티 #오버핏 #반팔티 #아메리칸어패럴 #americanapparel #아메리칸어패럴9001 #9001 #반팔티셔츠 #기본티 #이너티 #레이어드티 #남자반팔티 #여자반팔티 #남녀공용반팔티 #커플반팔티 #무지티셔츠 #무지티브랜드 #데일리티셔츠 #티셔츠추천 #티셔츠코디 #데일리코디 #여자데일리룩</x:v>
      </x:c>
      <x:c r="I188" s="19" t="str">
        <x:v>@kimdddda</x:v>
      </x:c>
      <x:c r="J188" s="25" t="n">
        <x:v>0</x:v>
      </x:c>
      <x:c r="K188" s="25" t="n">
        <x:v>3</x:v>
      </x:c>
      <x:c r="L188" s="25" t="n">
        <x:v>0</x:v>
      </x:c>
      <x:c r="M188" s="25" t="n">
        <x:v>0</x:v>
      </x:c>
      <x:c r="N188" s="19" t="str">
        <x:v>https://www.instagram.com/p/DaJvzz9GfKW/</x:v>
      </x:c>
      <x:c r="O188" s="19" t="str"/>
      <x:c r="P188" s="19" t="str">
        <x:v>Likely relevant</x:v>
      </x:c>
      <x:c r="Q188" s="19" t="str">
        <x:v>No</x:v>
      </x:c>
      <x:c r="R188" s="19" t="str">
        <x:v>Keep post; no comments</x:v>
      </x:c>
      <x:c r="S188" s="19" t="str">
        <x:v>No</x:v>
      </x:c>
      <x:c r="T188" s="22" t="str">
        <x:v>The post explicitly names/tags American Apparel or an identified AA product/style.</x:v>
      </x:c>
    </x:row>
    <x:row r="189">
      <x:c r="A189" s="9" t="str">
        <x:v>Instagram</x:v>
      </x:c>
      <x:c r="B189" s="10" t="str">
        <x:v>IG hashtag</x:v>
      </x:c>
      <x:c r="C189" s="10" t="str">
        <x:v>3929883636162692331</x:v>
      </x:c>
      <x:c r="D189" s="16" t="n">
        <x:v>46202.08631944445</x:v>
      </x:c>
      <x:c r="E189" s="10" t="str">
        <x:v>gildan_korea</x:v>
      </x:c>
      <x:c r="F189" s="10" t="str">
        <x:v>Sidecar</x:v>
      </x:c>
      <x:c r="G189" s="19" t="str">
        <x:v>📌 슈퍼 헤비웨이트 원단으로 묵직한 두께감이 특징인 반팔 티셔츠 오버사이즈 핏으로 디자인되어서 그런지 입었을 때 가벼우면서도 착용감도 좋았습니다. 📌 저는 오버핏이나 박시핏을 선호하는데 실제로 입어보니 제가 원하는 핏에 부합했으며 주위에서 핏 좋다는 말까지 듣기도 했습니다! 📌 미니멀, 캐주얼, 스트릿, 댄디 등등 다양한 룩에도 위화감없이 멋지게 매치할 수 있으며 이너로 입어도 좋습니다. 𝘛𝘩𝑎𝘯𝘬𝑠 𝑡𝑜 @ebroots126 #아메리칸어패럴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H189" s="19" t="str">
        <x:v>#아메리칸어패럴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I189" s="19" t="str">
        <x:v>@ebroots126</x:v>
      </x:c>
      <x:c r="J189" s="25" t="n">
        <x:v>0</x:v>
      </x:c>
      <x:c r="K189" s="25" t="n">
        <x:v>2</x:v>
      </x:c>
      <x:c r="L189" s="25" t="n">
        <x:v>0</x:v>
      </x:c>
      <x:c r="M189" s="25" t="n">
        <x:v>0</x:v>
      </x:c>
      <x:c r="N189" s="19" t="str">
        <x:v>https://www.instagram.com/p/DaJwFh-GQTr/</x:v>
      </x:c>
      <x:c r="O189" s="19" t="str"/>
      <x:c r="P189" s="19" t="str">
        <x:v>Likely relevant</x:v>
      </x:c>
      <x:c r="Q189" s="19" t="str">
        <x:v>No</x:v>
      </x:c>
      <x:c r="R189" s="19" t="str">
        <x:v>Keep post; no comments</x:v>
      </x:c>
      <x:c r="S189" s="19" t="str">
        <x:v>No</x:v>
      </x:c>
      <x:c r="T189" s="22" t="str">
        <x:v>The post explicitly names/tags American Apparel or an identified AA product/style.</x:v>
      </x:c>
    </x:row>
    <x:row r="190">
      <x:c r="A190" s="9" t="str">
        <x:v>Instagram</x:v>
      </x:c>
      <x:c r="B190" s="10" t="str">
        <x:v>IG hashtag</x:v>
      </x:c>
      <x:c r="C190" s="10" t="str">
        <x:v>3929888001653055855</x:v>
      </x:c>
      <x:c r="D190" s="16" t="n">
        <x:v>46202.09233796296</x:v>
      </x:c>
      <x:c r="E190" s="10" t="str">
        <x:v>gildan_korea</x:v>
      </x:c>
      <x:c r="F190" s="10" t="str">
        <x:v>Sidecar</x:v>
      </x:c>
      <x:c r="G190" s="19" t="str">
        <x:v>오늘은 #오버핏 #반팔티 의 근본인 #아메리칸어패럴 티셔츠를 입었습니다. #무지티 좋아하시는 분들은 이미 알고 계신 분들도 있을텐데요 몇 번 입고 버리는 티셔츠가 아닌 슈퍼 헤비웨이트 코튼 반팔 티셔츠로 목과 어깨에는 테이핑 처리와 이중박음질로 꼼꼼한 마감을 했습니다. 색상은 블랙, 화이트, 아이보리 색상으로 오버핏 반팔 무지티 찾고 계신 분들께 적극 추천합니다!🌿 𝘛𝘩𝑎𝘯𝘬𝑠 𝑡𝑜 yeomsong_ #아메리칸어패럴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H190" s="19" t="str">
        <x:v>#오버핏 #반팔티 #아메리칸어패럴 #무지티 #americanapparel #아메리칸어패럴9001 #9001 #반팔티셔츠 #기본티 #이너티 #레이어드티 #남자반팔티 #여자반팔티 #남녀공용반팔티 #커플반팔티 #무지티셔츠 #무지티브랜드 #데일리티셔츠 #티셔츠추천 #티셔츠코디 #데일리코디 #여자데일리룩</x:v>
      </x:c>
      <x:c r="I190" s="19" t="str"/>
      <x:c r="J190" s="25" t="n">
        <x:v>0</x:v>
      </x:c>
      <x:c r="K190" s="25" t="n">
        <x:v>2</x:v>
      </x:c>
      <x:c r="L190" s="25" t="n">
        <x:v>0</x:v>
      </x:c>
      <x:c r="M190" s="25" t="n">
        <x:v>0</x:v>
      </x:c>
      <x:c r="N190" s="19" t="str">
        <x:v>https://www.instagram.com/p/DaJxFDpmaFv/</x:v>
      </x:c>
      <x:c r="O190" s="19" t="str"/>
      <x:c r="P190" s="19" t="str">
        <x:v>Likely relevant</x:v>
      </x:c>
      <x:c r="Q190" s="19" t="str">
        <x:v>No</x:v>
      </x:c>
      <x:c r="R190" s="19" t="str">
        <x:v>Keep post; no comments</x:v>
      </x:c>
      <x:c r="S190" s="19" t="str">
        <x:v>No</x:v>
      </x:c>
      <x:c r="T190" s="22" t="str">
        <x:v>The post explicitly names/tags American Apparel or an identified AA product/style.</x:v>
      </x:c>
    </x:row>
    <x:row r="191">
      <x:c r="A191" s="9" t="str">
        <x:v>Instagram</x:v>
      </x:c>
      <x:c r="B191" s="10" t="str">
        <x:v>IG hashtag</x:v>
      </x:c>
      <x:c r="C191" s="10" t="str">
        <x:v>3929889681782167097</x:v>
      </x:c>
      <x:c r="D191" s="16" t="n">
        <x:v>46202.09465277778</x:v>
      </x:c>
      <x:c r="E191" s="10" t="str">
        <x:v>gildan_korea</x:v>
      </x:c>
      <x:c r="F191" s="10" t="str">
        <x:v>Sidecar</x:v>
      </x:c>
      <x:c r="G191" s="19" t="str">
        <x:v>베이직하게 편하게 입기 좋은 티셔츠✨ 팬츠에도 스커트에도 잘 어울림🫶🏻 이번 여행때도 편하게 착용! 𝘛𝘩𝑎𝘯𝘬𝑠 𝑡𝑜 @luvkongdeer #아메리칸어패럴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H191" s="19" t="str">
        <x:v>#아메리칸어패럴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I191" s="19" t="str">
        <x:v>@luvkongdeer</x:v>
      </x:c>
      <x:c r="J191" s="25" t="n">
        <x:v>0</x:v>
      </x:c>
      <x:c r="K191" s="25" t="n">
        <x:v>2</x:v>
      </x:c>
      <x:c r="L191" s="25" t="n">
        <x:v>0</x:v>
      </x:c>
      <x:c r="M191" s="25" t="n">
        <x:v>0</x:v>
      </x:c>
      <x:c r="N191" s="19" t="str">
        <x:v>https://www.instagram.com/p/DaJxdgZGVY5/</x:v>
      </x:c>
      <x:c r="O191" s="19" t="str"/>
      <x:c r="P191" s="19" t="str">
        <x:v>Likely relevant</x:v>
      </x:c>
      <x:c r="Q191" s="19" t="str">
        <x:v>No</x:v>
      </x:c>
      <x:c r="R191" s="19" t="str">
        <x:v>Keep post; no comments</x:v>
      </x:c>
      <x:c r="S191" s="19" t="str">
        <x:v>No</x:v>
      </x:c>
      <x:c r="T191" s="22" t="str">
        <x:v>The post explicitly names/tags American Apparel or an identified AA product/style.</x:v>
      </x:c>
    </x:row>
    <x:row r="192">
      <x:c r="A192" s="9" t="str">
        <x:v>Instagram</x:v>
      </x:c>
      <x:c r="B192" s="10" t="str">
        <x:v>IG hashtag</x:v>
      </x:c>
      <x:c r="C192" s="10" t="str">
        <x:v>3929891240142268445</x:v>
      </x:c>
      <x:c r="D192" s="16" t="n">
        <x:v>46202.09680555556</x:v>
      </x:c>
      <x:c r="E192" s="10" t="str">
        <x:v>gildan_korea</x:v>
      </x:c>
      <x:c r="F192" s="10" t="str">
        <x:v>Sidecar</x:v>
      </x:c>
      <x:c r="G192" s="19" t="str">
        <x:v>데일리룩으로 딱 좋은 오버핏 티셔츠 🖤 아메리칸어패럴 요즘 데일리로 자주 입고 있는 티셔츠🖤 아메리칸어패럴 9001 오버핏 반팔 입어보니까 확실히 핏이 예쁘게 떨어지는 스타일이라 편하게 입어도 자연스럽게 핏이 살아서 좋더라고요. ✔️ USA 핏이라 어깨 라인이 여유 있게 떨어지고 ✔️ 루즈한 오버핏이라 체형 커버도 자연스럽게 되고 ✔️ 원단도 탄탄한 슈퍼 헤비웨이트라 흐물거림 없이 깔끔하게 유지돼요 특히 목 늘어남 걱정 줄여주는 넥 테이핑 처리랑 꼼꼼한 마감 디테일이 확실히 기본티랑 차이가 느껴졌어요. 블랙색상은 어떤 코디에도 잘 어울려서 데일리템으로 딱이에요✨ 👉 기본티 찾으시는 분들한테 추천드려요 𝘛𝘩𝑎𝘯𝘬𝑠 𝑡𝑜 @lalashow_on #아메리칸어패럴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H192" s="19" t="str">
        <x:v>#아메리칸어패럴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I192" s="19" t="str">
        <x:v>@lalashow_on</x:v>
      </x:c>
      <x:c r="J192" s="25" t="n">
        <x:v>0</x:v>
      </x:c>
      <x:c r="K192" s="25" t="n">
        <x:v>2</x:v>
      </x:c>
      <x:c r="L192" s="25" t="n">
        <x:v>0</x:v>
      </x:c>
      <x:c r="M192" s="25" t="n">
        <x:v>0</x:v>
      </x:c>
      <x:c r="N192" s="19" t="str">
        <x:v>https://www.instagram.com/p/DaJx0LumWgd/</x:v>
      </x:c>
      <x:c r="O192" s="19" t="str"/>
      <x:c r="P192" s="19" t="str">
        <x:v>Likely relevant</x:v>
      </x:c>
      <x:c r="Q192" s="19" t="str">
        <x:v>No</x:v>
      </x:c>
      <x:c r="R192" s="19" t="str">
        <x:v>Keep post; no comments</x:v>
      </x:c>
      <x:c r="S192" s="19" t="str">
        <x:v>No</x:v>
      </x:c>
      <x:c r="T192" s="22" t="str">
        <x:v>The post explicitly names/tags American Apparel or an identified AA product/style.</x:v>
      </x:c>
    </x:row>
    <x:row r="193">
      <x:c r="A193" s="9" t="str">
        <x:v>Instagram</x:v>
      </x:c>
      <x:c r="B193" s="10" t="str">
        <x:v>IG hashtag</x:v>
      </x:c>
      <x:c r="C193" s="10" t="str">
        <x:v>3929891924543643364</x:v>
      </x:c>
      <x:c r="D193" s="16" t="n">
        <x:v>46202.09775462963</x:v>
      </x:c>
      <x:c r="E193" s="10" t="str">
        <x:v>gildan_korea</x:v>
      </x:c>
      <x:c r="F193" s="10" t="str">
        <x:v>Sidecar</x:v>
      </x:c>
      <x:c r="G193" s="19" t="str">
        <x:v>오늘 직접 입어본! [아메리칸어패럴] 오버핏 반팔티셔츠 요즘 손 자주 가는 기본템🖤 아메리칸어패럴 오버핏 반팔티 블랙 컬러예요. 생각보다 더 활용도가 좋아서 만족 중이에요. 일단 원단이 탄탄해서 흐물거리는 느낌 없이 핏이 딱 잡혀요. 그래서 그냥 툭 걸쳐 입어도 핏이 깔끔하게 떨어지고, 자연스럽게 라인 커버도 되는 게 좋더라구요. 특히 카페 갈 때나 잠깐 마실 나갈 때, 고민 없이 입기 좋은 티셔츠! 슬랙스나 데님이랑 매치해도 무난하고, 트레이닝 팬츠랑 입어도 잘 어울려서 코디하기 진짜 편해요. 오버핏이라 착용감도 편해서 오래 입어도 답답함 없고, 운동할 때 입기에도 괜찮을 정도로 활동성도 좋아요. 기본 반팔티 찾고 있다면 하나쯤 있으면 활용도 높게 입기 좋은 제품이라 추천합니다🖤 𝘛𝘩𝑎𝘯𝘬𝑠 𝑡𝑜 @cakao72 #아메리칸어패럴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H193" s="19" t="str">
        <x:v>#아메리칸어패럴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I193" s="19" t="str">
        <x:v>@cakao72</x:v>
      </x:c>
      <x:c r="J193" s="25" t="n">
        <x:v>0</x:v>
      </x:c>
      <x:c r="K193" s="25" t="n">
        <x:v>2</x:v>
      </x:c>
      <x:c r="L193" s="25" t="n">
        <x:v>0</x:v>
      </x:c>
      <x:c r="M193" s="25" t="n">
        <x:v>0</x:v>
      </x:c>
      <x:c r="N193" s="19" t="str">
        <x:v>https://www.instagram.com/p/DaJx-JIGZ7k/</x:v>
      </x:c>
      <x:c r="O193" s="19" t="str"/>
      <x:c r="P193" s="19" t="str">
        <x:v>Likely relevant</x:v>
      </x:c>
      <x:c r="Q193" s="19" t="str">
        <x:v>No</x:v>
      </x:c>
      <x:c r="R193" s="19" t="str">
        <x:v>Keep post; no comments</x:v>
      </x:c>
      <x:c r="S193" s="19" t="str">
        <x:v>No</x:v>
      </x:c>
      <x:c r="T193" s="22" t="str">
        <x:v>The post explicitly names/tags American Apparel or an identified AA product/style.</x:v>
      </x:c>
    </x:row>
    <x:row r="194">
      <x:c r="A194" s="9" t="str">
        <x:v>Instagram</x:v>
      </x:c>
      <x:c r="B194" s="10" t="str">
        <x:v>IG hashtag</x:v>
      </x:c>
      <x:c r="C194" s="10" t="str">
        <x:v>3930326548901722132</x:v>
      </x:c>
      <x:c r="D194" s="16" t="n">
        <x:v>46202.69741898148</x:v>
      </x:c>
      <x:c r="E194" s="10" t="str">
        <x:v>voidworks.usa</x:v>
      </x:c>
      <x:c r="F194" s="10" t="str">
        <x:v>Sidecar</x:v>
      </x:c>
      <x:c r="G194"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V027 #americanapparel #streetwear #clothing #unitedstates #clothingbrand</x:v>
      </x:c>
      <x:c r="H194" s="19" t="str">
        <x:v>#americanapparel #streetwear #clothing #unitedstates #clothingbrand</x:v>
      </x:c>
      <x:c r="I194" s="19" t="str"/>
      <x:c r="J194" s="25" t="n">
        <x:v>0</x:v>
      </x:c>
      <x:c r="K194" s="25" t="n">
        <x:v>3</x:v>
      </x:c>
      <x:c r="L194" s="25" t="n">
        <x:v>0</x:v>
      </x:c>
      <x:c r="M194" s="25" t="n">
        <x:v>0</x:v>
      </x:c>
      <x:c r="N194" s="19" t="str">
        <x:v>https://www.instagram.com/p/DaLUywmkvgU/</x:v>
      </x:c>
      <x:c r="O194" s="19" t="str"/>
      <x:c r="P194" s="19" t="str">
        <x:v>Design-sale noise</x:v>
      </x:c>
      <x:c r="Q194" s="19" t="str">
        <x:v>No</x:v>
      </x:c>
      <x:c r="R194" s="19" t="str">
        <x:v>Skip</x:v>
      </x:c>
      <x:c r="S194" s="19" t="str">
        <x:v>No</x:v>
      </x:c>
      <x:c r="T194" s="22" t="str">
        <x:v>Design/mockup sale language; not consumer discussion of American Apparel.</x:v>
      </x:c>
    </x:row>
    <x:row r="195">
      <x:c r="A195" s="9" t="str">
        <x:v>Instagram</x:v>
      </x:c>
      <x:c r="B195" s="10" t="str">
        <x:v>IG hashtag</x:v>
      </x:c>
      <x:c r="C195" s="10" t="str">
        <x:v>3930343475685467792</x:v>
      </x:c>
      <x:c r="D195" s="16" t="n">
        <x:v>46202.72077546296</x:v>
      </x:c>
      <x:c r="E195" s="10" t="str">
        <x:v>godin.jpg</x:v>
      </x:c>
      <x:c r="F195" s="10" t="str">
        <x:v>Sidecar</x:v>
      </x:c>
      <x:c r="G195" s="19" t="str">
        <x:v>DESIGN CR7 "THE MISSING PIECE" (AVAILABLE) Price? DM NOW!! - DETAILS: - PNG, JPG, PSD - Resolution ( 3500x3500px ) 300dpi - Preview Mockup - One Buyer - Text &amp; Color Can Be Change - #designforsale #clothingbrand #designs #streetwearbrand #streetwear #streetweardesigner #usastreetwear #americanapparel #urbanfashion #fashiondesigners</x:v>
      </x:c>
      <x:c r="H195" s="19" t="str">
        <x:v>#designforsale #clothingbrand #designs #streetwearbrand #streetwear #streetweardesigner #usastreetwear #americanapparel #urbanfashion #fashiondesigners</x:v>
      </x:c>
      <x:c r="I195" s="19" t="str"/>
      <x:c r="J195" s="25" t="n">
        <x:v>0</x:v>
      </x:c>
      <x:c r="K195" s="25" t="n">
        <x:v>2</x:v>
      </x:c>
      <x:c r="L195" s="25" t="n">
        <x:v>0</x:v>
      </x:c>
      <x:c r="M195" s="25" t="n">
        <x:v>0</x:v>
      </x:c>
      <x:c r="N195" s="19" t="str">
        <x:v>https://www.instagram.com/p/DaLYpE5gaaQ/</x:v>
      </x:c>
      <x:c r="O195" s="19" t="str"/>
      <x:c r="P195" s="19" t="str">
        <x:v>Design-sale noise</x:v>
      </x:c>
      <x:c r="Q195" s="19" t="str">
        <x:v>No</x:v>
      </x:c>
      <x:c r="R195" s="19" t="str">
        <x:v>Skip</x:v>
      </x:c>
      <x:c r="S195" s="19" t="str">
        <x:v>No</x:v>
      </x:c>
      <x:c r="T195" s="22" t="str">
        <x:v>Design/mockup sale language; not consumer discussion of American Apparel.</x:v>
      </x:c>
    </x:row>
    <x:row r="196">
      <x:c r="A196" s="9" t="str">
        <x:v>Instagram</x:v>
      </x:c>
      <x:c r="B196" s="10" t="str">
        <x:v>IG hashtag</x:v>
      </x:c>
      <x:c r="C196" s="10" t="str">
        <x:v>3930712033633376002</x:v>
      </x:c>
      <x:c r="D196" s="16" t="n">
        <x:v>46203.22928240741</x:v>
      </x:c>
      <x:c r="E196" s="10" t="str">
        <x:v>ezyt.thailand</x:v>
      </x:c>
      <x:c r="F196" s="10" t="str">
        <x:v>Sidecar</x:v>
      </x:c>
      <x:c r="G196" s="19" t="str">
        <x:v>แค่หยิบกาแฟ แล้วออกไปเดินเล่น... ☕️🚶‍♂️ หรือจะนั่งพักสายตา หลีกหนีความวุ่นวายระหว่างเดินทาง สำหรับทุกวันที่อยากออกไปใช้ชีวิตในแบบของตัวเอง ให้ 1301 California Classic เป็นเสื้อตัวโปรดของคุณ💚🤍 เสื้อยืดเฮฟวี่เวททรงรีแลกซ์จาก American Apparel ไอเทมที่ใส่ง่าย อยู่ทรงตลอดวัน และเข้ากับทุกช่วงเวลาได้อย่างพอดี . สัมผัสความเรียบง่ายที่ลงตัวได้แล้ววันนี้ 🛒 สั่งซื้อได้ที่ลิ้งค์ Linktree หน้าโปรไฟล์ #AmericanApparel #crafttheculture #ezytthailand</x:v>
      </x:c>
      <x:c r="H196" s="19" t="str">
        <x:v>#AmericanApparel #crafttheculture #ezytthailand</x:v>
      </x:c>
      <x:c r="I196" s="19" t="str"/>
      <x:c r="J196" s="25" t="n">
        <x:v>0</x:v>
      </x:c>
      <x:c r="K196" s="25" t="n">
        <x:v>72</x:v>
      </x:c>
      <x:c r="L196" s="25" t="n">
        <x:v>0</x:v>
      </x:c>
      <x:c r="M196" s="25" t="n">
        <x:v>0</x:v>
      </x:c>
      <x:c r="N196" s="19" t="str">
        <x:v>https://www.instagram.com/p/DaMscTPEhcC/</x:v>
      </x:c>
      <x:c r="O196" s="19" t="str">
        <x:v>1301, California Classic</x:v>
      </x:c>
      <x:c r="P196" s="19" t="str">
        <x:v>Likely relevant</x:v>
      </x:c>
      <x:c r="Q196" s="19" t="str">
        <x:v>No</x:v>
      </x:c>
      <x:c r="R196" s="19" t="str">
        <x:v>Keep post; no comments</x:v>
      </x:c>
      <x:c r="S196" s="19" t="str">
        <x:v>No</x:v>
      </x:c>
      <x:c r="T196" s="22" t="str">
        <x:v>The post explicitly names/tags American Apparel or an identified AA product/style.</x:v>
      </x:c>
    </x:row>
    <x:row r="197">
      <x:c r="A197" s="9" t="str">
        <x:v>TikTok</x:v>
      </x:c>
      <x:c r="B197" s="10" t="str">
        <x:v>TikTok hashtag — validation</x:v>
      </x:c>
      <x:c r="C197" s="10" t="str">
        <x:v>7657239530419850518</x:v>
      </x:c>
      <x:c r="D197" s="16" t="n">
        <x:v>46203.722395833334</x:v>
      </x:c>
      <x:c r="E197" s="10" t="str">
        <x:v>sumay.a6</x:v>
      </x:c>
      <x:c r="F197" s="10" t="str">
        <x:v>Video</x:v>
      </x:c>
      <x:c r="G197" s="19" t="str">
        <x:v>@Garage Clothing yes yes and yes and they do a XXS #garage #americanapparel #fittingroom #OOTD #fyp</x:v>
      </x:c>
      <x:c r="H197" s="19" t="str">
        <x:v>#garage #americanapparel #fittingroom #ootd #fyp</x:v>
      </x:c>
      <x:c r="I197" s="19" t="str"/>
      <x:c r="J197" s="25" t="n">
        <x:v>0</x:v>
      </x:c>
      <x:c r="K197" s="25" t="n">
        <x:v>21</x:v>
      </x:c>
      <x:c r="L197" s="25" t="n">
        <x:v>276</x:v>
      </x:c>
      <x:c r="M197" s="25" t="n">
        <x:v>0</x:v>
      </x:c>
      <x:c r="N197" s="19" t="str">
        <x:v>https://www.tiktok.com/@sumay.a6/video/7657239530419850518</x:v>
      </x:c>
      <x:c r="O197" s="19" t="str"/>
      <x:c r="P197" s="19" t="str">
        <x:v>Likely relevant</x:v>
      </x:c>
      <x:c r="Q197" s="19" t="str">
        <x:v>No</x:v>
      </x:c>
      <x:c r="R197" s="19" t="str">
        <x:v>Keep post; no comments</x:v>
      </x:c>
      <x:c r="S197" s="19" t="str">
        <x:v>No</x:v>
      </x:c>
      <x:c r="T197" s="22" t="str">
        <x:v>The post explicitly names/tags American Apparel or an identified AA product/style.</x:v>
      </x:c>
    </x:row>
    <x:row r="198">
      <x:c r="A198" s="9" t="str">
        <x:v>Instagram</x:v>
      </x:c>
      <x:c r="B198" s="10" t="str">
        <x:v>IG hashtag</x:v>
      </x:c>
      <x:c r="C198" s="10" t="str">
        <x:v>3931115643596840783</x:v>
      </x:c>
      <x:c r="D198" s="16" t="n">
        <x:v>46203.786157407405</x:v>
      </x:c>
      <x:c r="E198" s="10" t="str">
        <x:v>voidworks.usa</x:v>
      </x:c>
      <x:c r="F198" s="10" t="str">
        <x:v>Sidecar</x:v>
      </x:c>
      <x:c r="G198"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V028 #americanapparel #streetwear #clothing #unitedstates #clothingbrand</x:v>
      </x:c>
      <x:c r="H198" s="19" t="str">
        <x:v>#americanapparel #streetwear #clothing #unitedstates #clothingbrand</x:v>
      </x:c>
      <x:c r="I198" s="19" t="str"/>
      <x:c r="J198" s="25" t="n">
        <x:v>0</x:v>
      </x:c>
      <x:c r="K198" s="25" t="n">
        <x:v>2</x:v>
      </x:c>
      <x:c r="L198" s="25" t="n">
        <x:v>0</x:v>
      </x:c>
      <x:c r="M198" s="25" t="n">
        <x:v>0</x:v>
      </x:c>
      <x:c r="N198" s="19" t="str">
        <x:v>https://www.instagram.com/p/DaOINmTkh9P/</x:v>
      </x:c>
      <x:c r="O198" s="19" t="str"/>
      <x:c r="P198" s="19" t="str">
        <x:v>Design-sale noise</x:v>
      </x:c>
      <x:c r="Q198" s="19" t="str">
        <x:v>No</x:v>
      </x:c>
      <x:c r="R198" s="19" t="str">
        <x:v>Skip</x:v>
      </x:c>
      <x:c r="S198" s="19" t="str">
        <x:v>No</x:v>
      </x:c>
      <x:c r="T198" s="22" t="str">
        <x:v>Design/mockup sale language; not consumer discussion of American Apparel.</x:v>
      </x:c>
    </x:row>
    <x:row r="199">
      <x:c r="A199" s="12" t="str">
        <x:v>Instagram</x:v>
      </x:c>
      <x:c r="B199" s="13" t="str">
        <x:v>IG mention</x:v>
      </x:c>
      <x:c r="C199" s="13" t="str">
        <x:v>3931190831599065212</x:v>
      </x:c>
      <x:c r="D199" s="17" t="n">
        <x:v>46203.89181712963</x:v>
      </x:c>
      <x:c r="E199" s="13" t="str">
        <x:v>dgtz.mx</x:v>
      </x:c>
      <x:c r="F199" s="13" t="str">
        <x:v>Video</x:v>
      </x:c>
      <x:c r="G199" s="20" t="str">
        <x:v>#ootd #fashionblogger #bodycondress</x:v>
      </x:c>
      <x:c r="H199" s="20" t="str">
        <x:v>#ootd #fashionblogger #bodycondress</x:v>
      </x:c>
      <x:c r="I199" s="20" t="str"/>
      <x:c r="J199" s="26" t="n">
        <x:v>0</x:v>
      </x:c>
      <x:c r="K199" s="26" t="n">
        <x:v>6</x:v>
      </x:c>
      <x:c r="L199" s="26" t="n">
        <x:v>0</x:v>
      </x:c>
      <x:c r="M199" s="26" t="n">
        <x:v>0</x:v>
      </x:c>
      <x:c r="N199" s="20" t="str">
        <x:v>https://www.instagram.com/p/DaOZTulvBh8/</x:v>
      </x:c>
      <x:c r="O199" s="20" t="str"/>
      <x:c r="P199" s="20" t="str">
        <x:v>Ambiguous / incidental</x:v>
      </x:c>
      <x:c r="Q199" s="20" t="str">
        <x:v>No</x:v>
      </x:c>
      <x:c r="R199" s="20" t="str">
        <x:v>Defer</x:v>
      </x:c>
      <x:c r="S199" s="20" t="str">
        <x:v>No</x:v>
      </x:c>
      <x:c r="T199" s="23" t="str">
        <x:v>The brand is discovered through a tag/mention but is not clearly the subject of the caption.</x:v>
      </x:c>
    </x:row>
  </x:sheetData>
  <x:conditionalFormatting sqref="P2:P199">
    <x:cfRule type="containsText" dxfId="0" priority="1" operator="containsText" text="Likely relevant"/>
    <x:cfRule type="containsText" dxfId="1" priority="2" operator="containsText" text="Ambiguous"/>
    <x:cfRule type="containsText" dxfId="2" priority="3" operator="containsText" text="Giveaway"/>
    <x:cfRule type="containsText" dxfId="3" priority="4" operator="containsText" text="Design-sale"/>
  </x:conditionalFormatting>
  <x:conditionalFormatting sqref="S2:S199">
    <x:cfRule type="containsText" dxfId="4" priority="5" operator="containsText" text="Yes"/>
  </x:conditionalFormatting>
  <x:pageMargins left="0.7" right="0.7" top="0.75" bottom="0.75" header="0.3" footer="0.3"/>
  <x:tableParts count="1">
    <x:tablePart xmlns:r="http://schemas.openxmlformats.org/officeDocument/2006/relationships" r:id="R755fef3041d24c2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3" hidden="0" customWidth="1"/>
    <x:col min="5" max="5" width="18" hidden="0" customWidth="1"/>
    <x:col min="6" max="6" width="12" hidden="0" customWidth="1"/>
    <x:col min="7" max="7" width="54" hidden="0" customWidth="1"/>
    <x:col min="8" max="8" width="35" hidden="0" customWidth="1"/>
    <x:col min="9" max="9" width="28" hidden="0" customWidth="1"/>
    <x:col min="10" max="10" width="11" hidden="0" customWidth="1"/>
    <x:col min="11" max="11" width="11" hidden="0" customWidth="1"/>
    <x:col min="12" max="12" width="12" hidden="0" customWidth="1"/>
    <x:col min="13" max="13" width="10" hidden="0" customWidth="1"/>
    <x:col min="14" max="14" width="46" hidden="0" customWidth="1"/>
    <x:col min="15" max="15" width="18" hidden="0" customWidth="1"/>
    <x:col min="16" max="16" width="23" hidden="0" customWidth="1"/>
    <x:col min="17" max="17" width="30" hidden="0" customWidth="1"/>
    <x:col min="18" max="18" width="23" hidden="0" customWidth="1"/>
    <x:col min="19" max="19" width="12" hidden="0" customWidth="1"/>
    <x:col min="20" max="20" width="50" hidden="0" customWidth="1"/>
  </x:cols>
  <x:sheetData>
    <x:row r="1" ht="34" customHeight="1">
      <x:c r="A1" s="4" t="str">
        <x:v>Platform</x:v>
      </x:c>
      <x:c r="B1" s="4" t="str">
        <x:v>Discovery Source</x:v>
      </x:c>
      <x:c r="C1" s="4" t="str">
        <x:v>Post ID</x:v>
      </x:c>
      <x:c r="D1" s="4" t="str">
        <x:v>Published Date</x:v>
      </x:c>
      <x:c r="E1" s="4" t="str">
        <x:v>Author</x:v>
      </x:c>
      <x:c r="F1" s="4" t="str">
        <x:v>Content Type</x:v>
      </x:c>
      <x:c r="G1" s="4" t="str">
        <x:v>Post Text</x:v>
      </x:c>
      <x:c r="H1" s="4" t="str">
        <x:v>Hashtags</x:v>
      </x:c>
      <x:c r="I1" s="4" t="str">
        <x:v>Mentions / Tagged</x:v>
      </x:c>
      <x:c r="J1" s="4" t="str">
        <x:v>Comments</x:v>
      </x:c>
      <x:c r="K1" s="4" t="str">
        <x:v>Likes</x:v>
      </x:c>
      <x:c r="L1" s="4" t="str">
        <x:v>Plays</x:v>
      </x:c>
      <x:c r="M1" s="4" t="str">
        <x:v>Shares</x:v>
      </x:c>
      <x:c r="N1" s="4" t="str">
        <x:v>Source URL</x:v>
      </x:c>
      <x:c r="O1" s="4" t="str">
        <x:v>Style Signals</x:v>
      </x:c>
      <x:c r="P1" s="4" t="str">
        <x:v>Preliminary Bucket</x:v>
      </x:c>
      <x:c r="Q1" s="4" t="str">
        <x:v>Target Signal Candidate</x:v>
      </x:c>
      <x:c r="R1" s="4" t="str">
        <x:v>Gate Decision</x:v>
      </x:c>
      <x:c r="S1" s="4" t="str">
        <x:v>LLM Review?</x:v>
      </x:c>
      <x:c r="T1" s="4" t="str">
        <x:v>Gate Reason</x:v>
      </x:c>
    </x:row>
    <x:row r="2">
      <x:c r="A2" s="6" t="str">
        <x:v>Instagram</x:v>
      </x:c>
      <x:c r="B2" s="7" t="str">
        <x:v>IG mention</x:v>
      </x:c>
      <x:c r="C2" s="7" t="str">
        <x:v>3931270423849716983</x:v>
      </x:c>
      <x:c r="D2" s="15" t="n">
        <x:v>46203.99972222222</x:v>
      </x:c>
      <x:c r="E2" s="7" t="str">
        <x:v>luxalot</x:v>
      </x:c>
      <x:c r="F2" s="7" t="str">
        <x:v>Sidecar</x:v>
      </x:c>
      <x:c r="G2" s="18" t="str">
        <x:v>all the styling for my girl @rachelwolfson for the @jackass premiere, promos, and pride!🌈🐅⚡️ 1. Dress: @ronnykobo Jewelry: @bhunicorn Shoes: @kennethcole Bag: @olgabergofficial Makeup: @seriouslymofun Hair: @buddywporter Glow: @globyflo.official 2. Top: @discountuniverse Shorts: @americanapparel Boots: @gianvitorossi HMUA: @cutegirlmorkin 3. Skirt Set: @reformation Shoes: @stevemadden Bag: @jwpei_official HMA: @seriouslymofun 6. Skirt: @camilacoelho Jacket: @dolcegabbana Top: @therubyla Rings: @alexandani + @oakandluna Bag: @prada MHUA: @cutegirlmorkin @cldstyle 7. &amp; 12. all from @bhunicorn✨</x:v>
      </x:c>
      <x:c r="H2" s="18" t="str"/>
      <x:c r="I2" s="18" t="str">
        <x:v>@rachelwolfson @jackass @ronnykobo @bhunicorn @kennethcole @olgabergofficial @seriouslymofun @buddywporter @globyflo.official @discountuniverse @americanapparel @gianvitorossi @cutegirlmorkin @reformation @stevemadden @jwpei_official @camilacoelho @dolcegabbana @therubyla @alexandani @oakandluna @pr</x:v>
      </x:c>
      <x:c r="J2" s="24" t="n">
        <x:v>93</x:v>
      </x:c>
      <x:c r="K2" s="24" t="n">
        <x:v>3593</x:v>
      </x:c>
      <x:c r="L2" s="24" t="n">
        <x:v>0</x:v>
      </x:c>
      <x:c r="M2" s="24" t="n">
        <x:v>0</x:v>
      </x:c>
      <x:c r="N2" s="18" t="str">
        <x:v>https://www.instagram.com/p/DaOrZ8pj8z3/</x:v>
      </x:c>
      <x:c r="O2" s="18" t="str"/>
      <x:c r="P2" s="18" t="str">
        <x:v>Likely relevant</x:v>
      </x:c>
      <x:c r="Q2" s="18" t="str">
        <x:v>No</x:v>
      </x:c>
      <x:c r="R2" s="18" t="str">
        <x:v>LLM then scrape 30</x:v>
      </x:c>
      <x:c r="S2" s="18" t="str">
        <x:v>Yes</x:v>
      </x:c>
      <x:c r="T2" s="21" t="str">
        <x:v>The post explicitly names/tags American Apparel or an identified AA product/style.</x:v>
      </x:c>
    </x:row>
    <x:row r="3">
      <x:c r="A3" s="9" t="str">
        <x:v>Instagram</x:v>
      </x:c>
      <x:c r="B3" s="10" t="str">
        <x:v>IG mention</x:v>
      </x:c>
      <x:c r="C3" s="10" t="str">
        <x:v>3927935509327010353</x:v>
      </x:c>
      <x:c r="D3" s="16" t="n">
        <x:v>46199.398414351854</x:v>
      </x:c>
      <x:c r="E3" s="10" t="str">
        <x:v>pinoxkino</x:v>
      </x:c>
      <x:c r="F3" s="10" t="str">
        <x:v>Sidecar</x:v>
      </x:c>
      <x:c r="G3" s="19" t="str">
        <x:v>• #협찬 @americanapparel 👕아메리칸어패럴 박시핏 나시티 무더운 여름 시원하게 입을 나시티✨ #아메리칸어패럴 #나시티 #머슬핏 오늘 내용이 도움 되셨다면 : 좋아요, 저장, 공유🙏 @pinoxkino @pinoxkino @pinoxkino 🖥️Purchasing Site • https://gildan.co.kr/category/207gd203g-usa/424 🎶Song • @chrisbrownofficial - #summertoohot</x:v>
      </x:c>
      <x:c r="H3" s="19" t="str">
        <x:v>#협찬 #아메리칸어패럴 #나시티 #머슬핏 #summertoohot</x:v>
      </x:c>
      <x:c r="I3" s="19" t="str">
        <x:v>@americanapparel @pinoxkino @chrisbrownofficial @stussy @gildan_korea @americanapparelanz</x:v>
      </x:c>
      <x:c r="J3" s="25" t="n">
        <x:v>20</x:v>
      </x:c>
      <x:c r="K3" s="25" t="n">
        <x:v>144</x:v>
      </x:c>
      <x:c r="L3" s="25" t="n">
        <x:v>0</x:v>
      </x:c>
      <x:c r="M3" s="25" t="n">
        <x:v>0</x:v>
      </x:c>
      <x:c r="N3" s="19" t="str">
        <x:v>https://www.instagram.com/p/DaC1IjeFFox/</x:v>
      </x:c>
      <x:c r="O3" s="19" t="str"/>
      <x:c r="P3" s="19" t="str">
        <x:v>Likely relevant</x:v>
      </x:c>
      <x:c r="Q3" s="19" t="str">
        <x:v>No</x:v>
      </x:c>
      <x:c r="R3" s="19" t="str">
        <x:v>LLM then scrape 30</x:v>
      </x:c>
      <x:c r="S3" s="19" t="str">
        <x:v>Yes</x:v>
      </x:c>
      <x:c r="T3" s="22" t="str">
        <x:v>The post explicitly names/tags American Apparel or an identified AA product/style.</x:v>
      </x:c>
    </x:row>
    <x:row r="4">
      <x:c r="A4" s="9" t="str">
        <x:v>Instagram</x:v>
      </x:c>
      <x:c r="B4" s="10" t="str">
        <x:v>IG mention</x:v>
      </x:c>
      <x:c r="C4" s="10" t="str">
        <x:v>3926623745675536808</x:v>
      </x:c>
      <x:c r="D4" s="16" t="n">
        <x:v>46197.58851851852</x:v>
      </x:c>
      <x:c r="E4" s="10" t="str">
        <x:v>i_am_yonxx</x:v>
      </x:c>
      <x:c r="F4" s="10" t="str">
        <x:v>Sidecar</x:v>
      </x:c>
      <x:c r="G4" s="19" t="str">
        <x:v>주말에 옷정리를 위해 장롱을 열어보다가 발견한! 아메리칸 어패럴을 아시나요? 진짜 제가 엄청 좋아했었음. 에첸엠옷은 환불할껄 그랬고 코랄이랑 하늘색은 친구주기로 했고 암튼 빨간색옷도 참 많네. 저는 옷살때 왠만하면 환불은 안해요. 왜냐면 귀찮거든요. COS H&amp;M ZARA는 사이즈를 잘 알아서 환불한일이 0.1% 인데 이번엔 전부 H&amp;M 환불을 안한걸 후회중 . 입을 옷이 많은거같은데 왜케 별로지. 일단 내일부터 매일 20km뛰면 살이빠질까? 를 해볼게요 🥹✨🔥🩷💚🏃🏻‍♀️‍➡️🏃🏽‍♀️🐈🐩💐🌷💕🩵💙하 진짜 뭔가 왜이렇게 별로지</x:v>
      </x:c>
      <x:c r="H4" s="19" t="str"/>
      <x:c r="I4" s="19" t="str">
        <x:v>@americanapparel</x:v>
      </x:c>
      <x:c r="J4" s="25" t="n">
        <x:v>16</x:v>
      </x:c>
      <x:c r="K4" s="25" t="n">
        <x:v>139</x:v>
      </x:c>
      <x:c r="L4" s="25" t="n">
        <x:v>0</x:v>
      </x:c>
      <x:c r="M4" s="25" t="n">
        <x:v>0</x:v>
      </x:c>
      <x:c r="N4" s="19" t="str">
        <x:v>https://www.instagram.com/p/DZ-K34Xmqmo/</x:v>
      </x:c>
      <x:c r="O4" s="19" t="str"/>
      <x:c r="P4" s="19" t="str">
        <x:v>Likely relevant</x:v>
      </x:c>
      <x:c r="Q4" s="19" t="str">
        <x:v>Review — nostalgia/awareness adjacent</x:v>
      </x:c>
      <x:c r="R4" s="19" t="str">
        <x:v>Scrape comments</x:v>
      </x:c>
      <x:c r="S4" s="19" t="str">
        <x:v>Yes</x:v>
      </x:c>
      <x:c r="T4" s="22" t="str">
        <x:v>The post explicitly names/tags American Apparel or an identified AA product/style.</x:v>
      </x:c>
    </x:row>
    <x:row r="5">
      <x:c r="A5" s="9" t="str">
        <x:v>Instagram</x:v>
      </x:c>
      <x:c r="B5" s="10" t="str">
        <x:v>IG mention</x:v>
      </x:c>
      <x:c r="C5" s="10" t="str">
        <x:v>3928858511220665534</x:v>
      </x:c>
      <x:c r="D5" s="16" t="n">
        <x:v>46200.67190972222</x:v>
      </x:c>
      <x:c r="E5" s="10" t="str">
        <x:v>84.parksang_</x:v>
      </x:c>
      <x:c r="F5" s="10" t="str">
        <x:v>Sidecar</x:v>
      </x:c>
      <x:c r="G5" s="19" t="str">
        <x:v>동네 한 바퀴 #연신내 동네 마실이었는데 추억까지😘 학창시절을 함께한 음악의 주인공 #djdoc🎤🔥 이하늘&amp;정재용 형님의 #형제곱창 마무리는 역시 #ymcoffeproject 커피 한 잔☕️🤎 좋은 사람, 좋은 음식, 좋은 커피. 멀리 갈 필요 없던 하루💕 ๑ top : @americanapparel ๑ denim : @levis ๑ shoes : @vans x @rhude ๑ acc : @tefstores</x:v>
      </x:c>
      <x:c r="H5" s="19" t="str">
        <x:v>#연신내 #djdoc🎤🔥 #형제곱창 #ymcoffeproject</x:v>
      </x:c>
      <x:c r="I5" s="19" t="str">
        <x:v>@americanapparel @levis @vans @rhude @tefstores @ymcoffeeproject @hyungjae_gobchang</x:v>
      </x:c>
      <x:c r="J5" s="25" t="n">
        <x:v>15</x:v>
      </x:c>
      <x:c r="K5" s="25" t="n">
        <x:v>179</x:v>
      </x:c>
      <x:c r="L5" s="25" t="n">
        <x:v>0</x:v>
      </x:c>
      <x:c r="M5" s="25" t="n">
        <x:v>0</x:v>
      </x:c>
      <x:c r="N5" s="19" t="str">
        <x:v>https://www.instagram.com/p/DaGG__-E-y-/</x:v>
      </x:c>
      <x:c r="O5" s="19" t="str"/>
      <x:c r="P5" s="19" t="str">
        <x:v>Likely relevant</x:v>
      </x:c>
      <x:c r="Q5" s="19" t="str">
        <x:v>No</x:v>
      </x:c>
      <x:c r="R5" s="19" t="str">
        <x:v>Scrape comments</x:v>
      </x:c>
      <x:c r="S5" s="19" t="str">
        <x:v>No</x:v>
      </x:c>
      <x:c r="T5" s="22" t="str">
        <x:v>The post explicitly names/tags American Apparel or an identified AA product/style.</x:v>
      </x:c>
    </x:row>
    <x:row r="6">
      <x:c r="A6" s="9" t="str">
        <x:v>Instagram</x:v>
      </x:c>
      <x:c r="B6" s="10" t="str">
        <x:v>IG hashtag</x:v>
      </x:c>
      <x:c r="C6" s="10" t="str">
        <x:v>3928870301786724140</x:v>
      </x:c>
      <x:c r="D6" s="16" t="n">
        <x:v>46200.687523148146</x:v>
      </x:c>
      <x:c r="E6" s="10" t="str">
        <x:v>maykozlowska</x:v>
      </x:c>
      <x:c r="F6" s="10" t="str">
        <x:v>Sidecar</x:v>
      </x:c>
      <x:c r="G6" s="19" t="str">
        <x:v>#tumblr2014 #tumblraesthetic #americanapparel #indiesleaze #internetangel</x:v>
      </x:c>
      <x:c r="H6" s="19" t="str">
        <x:v>#tumblr2014 #tumblraesthetic #americanapparel #indiesleaze #internetangel</x:v>
      </x:c>
      <x:c r="I6" s="19" t="str"/>
      <x:c r="J6" s="25" t="n">
        <x:v>15</x:v>
      </x:c>
      <x:c r="K6" s="25" t="n">
        <x:v>442</x:v>
      </x:c>
      <x:c r="L6" s="25" t="n">
        <x:v>0</x:v>
      </x:c>
      <x:c r="M6" s="25" t="n">
        <x:v>0</x:v>
      </x:c>
      <x:c r="N6" s="19" t="str">
        <x:v>https://www.instagram.com/p/DaGJrkylFcs/</x:v>
      </x:c>
      <x:c r="O6" s="19" t="str"/>
      <x:c r="P6" s="19" t="str">
        <x:v>Likely relevant</x:v>
      </x:c>
      <x:c r="Q6" s="19" t="str">
        <x:v>No</x:v>
      </x:c>
      <x:c r="R6" s="19" t="str">
        <x:v>Scrape comments</x:v>
      </x:c>
      <x:c r="S6" s="19" t="str">
        <x:v>No</x:v>
      </x:c>
      <x:c r="T6" s="22" t="str">
        <x:v>The post explicitly names/tags American Apparel or an identified AA product/style.</x:v>
      </x:c>
    </x:row>
    <x:row r="7">
      <x:c r="A7" s="9" t="str">
        <x:v>TikTok</x:v>
      </x:c>
      <x:c r="B7" s="10" t="str">
        <x:v>TikTok hashtag — validation</x:v>
      </x:c>
      <x:c r="C7" s="10" t="str">
        <x:v>7651670861321129238</x:v>
      </x:c>
      <x:c r="D7" s="16" t="n">
        <x:v>46188.7159375</x:v>
      </x:c>
      <x:c r="E7" s="10" t="str">
        <x:v>estare</x:v>
      </x:c>
      <x:c r="F7" s="10" t="str">
        <x:v>Video</x:v>
      </x:c>
      <x:c r="G7" s="19" t="str">
        <x:v>Also found my riding and disco pants! What a throwback, I’m still obsessed!! @Los Angeles Apparel 🤩😍👏🏾 #americanapparel #losangelesapparel #2000sthrowback #2000fashion</x:v>
      </x:c>
      <x:c r="H7" s="19" t="str">
        <x:v>#americanapparel #losangelesapparel #2000sthrowback #2000fashion</x:v>
      </x:c>
      <x:c r="I7" s="19" t="str"/>
      <x:c r="J7" s="25" t="n">
        <x:v>8</x:v>
      </x:c>
      <x:c r="K7" s="25" t="n">
        <x:v>185</x:v>
      </x:c>
      <x:c r="L7" s="25" t="n">
        <x:v>3328</x:v>
      </x:c>
      <x:c r="M7" s="25" t="n">
        <x:v>1</x:v>
      </x:c>
      <x:c r="N7" s="19" t="str">
        <x:v>https://www.tiktok.com/@estare/video/7651670861321129238</x:v>
      </x:c>
      <x:c r="O7" s="19" t="str">
        <x:v>Disco pants</x:v>
      </x:c>
      <x:c r="P7" s="19" t="str">
        <x:v>Likely relevant</x:v>
      </x:c>
      <x:c r="Q7" s="19" t="str">
        <x:v>Review — nostalgia/awareness adjacent</x:v>
      </x:c>
      <x:c r="R7" s="19" t="str">
        <x:v>Scrape comments</x:v>
      </x:c>
      <x:c r="S7" s="19" t="str">
        <x:v>Yes</x:v>
      </x:c>
      <x:c r="T7" s="22" t="str">
        <x:v>The post explicitly names/tags American Apparel or an identified AA product/style.</x:v>
      </x:c>
    </x:row>
    <x:row r="8">
      <x:c r="A8" s="9" t="str">
        <x:v>Instagram</x:v>
      </x:c>
      <x:c r="B8" s="10" t="str">
        <x:v>IG mention + IG hashtag</x:v>
      </x:c>
      <x:c r="C8" s="10" t="str">
        <x:v>3928086321936114799</x:v>
      </x:c>
      <x:c r="D8" s="16" t="n">
        <x:v>46199.60649305556</x:v>
      </x:c>
      <x:c r="E8" s="10" t="str">
        <x:v>nelo_room</x:v>
      </x:c>
      <x:c r="F8" s="10" t="str">
        <x:v>Sidecar</x:v>
      </x:c>
      <x:c r="G8" s="19" t="str">
        <x:v>워크샵 벌써 3주나 지났네🤣 . Top #americanapparel Bottom #leejeans Shoes #islandslipper Acc #josilver</x:v>
      </x:c>
      <x:c r="H8" s="19" t="str">
        <x:v>#americanapparel #leejeans #islandslipper #josilver</x:v>
      </x:c>
      <x:c r="I8" s="19" t="str">
        <x:v>@americanapparel @tomford @islandslipper @rust_mood @josilver_official</x:v>
      </x:c>
      <x:c r="J8" s="25" t="n">
        <x:v>7</x:v>
      </x:c>
      <x:c r="K8" s="25" t="n">
        <x:v>46</x:v>
      </x:c>
      <x:c r="L8" s="25" t="n">
        <x:v>0</x:v>
      </x:c>
      <x:c r="M8" s="25" t="n">
        <x:v>0</x:v>
      </x:c>
      <x:c r="N8" s="19" t="str">
        <x:v>https://www.instagram.com/p/DaDXbKqEqRv/</x:v>
      </x:c>
      <x:c r="O8" s="19" t="str"/>
      <x:c r="P8" s="19" t="str">
        <x:v>Likely relevant</x:v>
      </x:c>
      <x:c r="Q8" s="19" t="str">
        <x:v>No</x:v>
      </x:c>
      <x:c r="R8" s="19" t="str">
        <x:v>Scrape comments</x:v>
      </x:c>
      <x:c r="S8" s="19" t="str">
        <x:v>No</x:v>
      </x:c>
      <x:c r="T8" s="22" t="str">
        <x:v>The post explicitly names/tags American Apparel or an identified AA product/style.</x:v>
      </x:c>
    </x:row>
    <x:row r="9">
      <x:c r="A9" s="9" t="str">
        <x:v>Instagram</x:v>
      </x:c>
      <x:c r="B9" s="10" t="str">
        <x:v>IG hashtag</x:v>
      </x:c>
      <x:c r="C9" s="10" t="str">
        <x:v>3922981040835076868</x:v>
      </x:c>
      <x:c r="D9" s="16" t="n">
        <x:v>46192.56255787037</x:v>
      </x:c>
      <x:c r="E9" s="10" t="str">
        <x:v>americanapparelindia</x:v>
      </x:c>
      <x:c r="F9" s="10" t="str">
        <x:v>Image</x:v>
      </x:c>
      <x:c r="G9" s="19" t="str">
        <x:v>Fine Jersey remains a classic for a reason, lightweight comfort with a premium finish. Visit us: https://www.myntra.com/tshirts/american+apparel/american-apparel-unisex-solid-round-neck-short-sleeve-t-shirt/37706434/buy #AmericanApparel #FineJersey #LuxuryBasics #PremiumWear #EverydayTee #Reach</x:v>
      </x:c>
      <x:c r="H9" s="19" t="str">
        <x:v>#AmericanApparel #FineJersey #LuxuryBasics #PremiumWear #EverydayTee #Reach</x:v>
      </x:c>
      <x:c r="I9" s="19" t="str"/>
      <x:c r="J9" s="25" t="n">
        <x:v>4</x:v>
      </x:c>
      <x:c r="K9" s="25" t="n">
        <x:v>862</x:v>
      </x:c>
      <x:c r="L9" s="25" t="n">
        <x:v>0</x:v>
      </x:c>
      <x:c r="M9" s="25" t="n">
        <x:v>0</x:v>
      </x:c>
      <x:c r="N9" s="19" t="str">
        <x:v>https://www.instagram.com/p/DZxOnjHkSME/</x:v>
      </x:c>
      <x:c r="O9" s="19" t="str">
        <x:v>Fine Jersey</x:v>
      </x:c>
      <x:c r="P9" s="19" t="str">
        <x:v>Likely relevant</x:v>
      </x:c>
      <x:c r="Q9" s="19" t="str">
        <x:v>No</x:v>
      </x:c>
      <x:c r="R9" s="19" t="str">
        <x:v>Scrape comments</x:v>
      </x:c>
      <x:c r="S9" s="19" t="str">
        <x:v>No</x:v>
      </x:c>
      <x:c r="T9" s="22" t="str">
        <x:v>The post explicitly names/tags American Apparel or an identified AA product/style.</x:v>
      </x:c>
    </x:row>
    <x:row r="10">
      <x:c r="A10" s="9" t="str">
        <x:v>Instagram</x:v>
      </x:c>
      <x:c r="B10" s="10" t="str">
        <x:v>IG mention</x:v>
      </x:c>
      <x:c r="C10" s="10" t="str">
        <x:v>3919101733017169089</x:v>
      </x:c>
      <x:c r="D10" s="16" t="n">
        <x:v>46187.210127314815</x:v>
      </x:c>
      <x:c r="E10" s="10" t="str">
        <x:v>alexa.dodd</x:v>
      </x:c>
      <x:c r="F10" s="10" t="str">
        <x:v>Sidecar</x:v>
      </x:c>
      <x:c r="G10" s="19" t="str">
        <x:v>never had a bad day at the beach 😎 also I’d like for you all to know that my swim suit bottoms are from THE @americanapparel circa 2010</x:v>
      </x:c>
      <x:c r="H10" s="19" t="str"/>
      <x:c r="I10" s="19" t="str">
        <x:v>@americanapparel @quiksilver @duvin @skims</x:v>
      </x:c>
      <x:c r="J10" s="25" t="n">
        <x:v>3</x:v>
      </x:c>
      <x:c r="K10" s="25" t="n">
        <x:v>36</x:v>
      </x:c>
      <x:c r="L10" s="25" t="n">
        <x:v>0</x:v>
      </x:c>
      <x:c r="M10" s="25" t="n">
        <x:v>0</x:v>
      </x:c>
      <x:c r="N10" s="19" t="str">
        <x:v>https://www.instagram.com/p/DZjckMLGyzB/</x:v>
      </x:c>
      <x:c r="O10" s="19" t="str"/>
      <x:c r="P10" s="19" t="str">
        <x:v>Likely relevant</x:v>
      </x:c>
      <x:c r="Q10" s="19" t="str">
        <x:v>No</x:v>
      </x:c>
      <x:c r="R10" s="19" t="str">
        <x:v>Scrape comments</x:v>
      </x:c>
      <x:c r="S10" s="19" t="str">
        <x:v>No</x:v>
      </x:c>
      <x:c r="T10" s="22" t="str">
        <x:v>The post explicitly names/tags American Apparel or an identified AA product/style.</x:v>
      </x:c>
    </x:row>
    <x:row r="11">
      <x:c r="A11" s="9" t="str">
        <x:v>Instagram</x:v>
      </x:c>
      <x:c r="B11" s="10" t="str">
        <x:v>IG hashtag</x:v>
      </x:c>
      <x:c r="C11" s="10" t="str">
        <x:v>3921116946413936216</x:v>
      </x:c>
      <x:c r="D11" s="16" t="n">
        <x:v>46189.991944444446</x:v>
      </x:c>
      <x:c r="E11" s="10" t="str">
        <x:v>chienrougee</x:v>
      </x:c>
      <x:c r="F11" s="10" t="str">
        <x:v>Image</x:v>
      </x:c>
      <x:c r="G11" s="19" t="str">
        <x:v>Pop up in 3 dog days #ouh #americanapparel #chienrouge #vendredi photo @vrsmissn</x:v>
      </x:c>
      <x:c r="H11" s="19" t="str">
        <x:v>#ouh #americanapparel #chienrouge #vendredi</x:v>
      </x:c>
      <x:c r="I11" s="19" t="str">
        <x:v>@vrsmissn @matildarichert @leoniemaai</x:v>
      </x:c>
      <x:c r="J11" s="25" t="n">
        <x:v>3</x:v>
      </x:c>
      <x:c r="K11" s="25" t="n">
        <x:v>-1</x:v>
      </x:c>
      <x:c r="L11" s="25" t="n">
        <x:v>0</x:v>
      </x:c>
      <x:c r="M11" s="25" t="n">
        <x:v>0</x:v>
      </x:c>
      <x:c r="N11" s="19" t="str">
        <x:v>https://www.instagram.com/p/DZqmxZ5xF5Y/</x:v>
      </x:c>
      <x:c r="O11" s="19" t="str"/>
      <x:c r="P11" s="19" t="str">
        <x:v>Likely relevant</x:v>
      </x:c>
      <x:c r="Q11" s="19" t="str">
        <x:v>No</x:v>
      </x:c>
      <x:c r="R11" s="19" t="str">
        <x:v>Scrape comments</x:v>
      </x:c>
      <x:c r="S11" s="19" t="str">
        <x:v>No</x:v>
      </x:c>
      <x:c r="T11" s="22" t="str">
        <x:v>The post explicitly names/tags American Apparel or an identified AA product/style.</x:v>
      </x:c>
    </x:row>
    <x:row r="12">
      <x:c r="A12" s="9" t="str">
        <x:v>Instagram</x:v>
      </x:c>
      <x:c r="B12" s="10" t="str">
        <x:v>IG hashtag</x:v>
      </x:c>
      <x:c r="C12" s="10" t="str">
        <x:v>3921523113225325732</x:v>
      </x:c>
      <x:c r="D12" s="16" t="n">
        <x:v>46190.55427083333</x:v>
      </x:c>
      <x:c r="E12" s="10" t="str">
        <x:v>riverbed_threads</x:v>
      </x:c>
      <x:c r="F12" s="10" t="str">
        <x:v>Image</x:v>
      </x:c>
      <x:c r="G12" s="19" t="str">
        <x:v>The fourth is right around the corner 🇺🇸 Stock up your American style with our Spirit of ‘76 collection! #riverbedthreads #lcelizabeth #americanapparel #july4th #americas250thbirthday</x:v>
      </x:c>
      <x:c r="H12" s="19" t="str">
        <x:v>#riverbedthreads #lcelizabeth #americanapparel #july4th #americas250thbirthday</x:v>
      </x:c>
      <x:c r="I12" s="19" t="str">
        <x:v>@lcelizabeth_</x:v>
      </x:c>
      <x:c r="J12" s="25" t="n">
        <x:v>3</x:v>
      </x:c>
      <x:c r="K12" s="25" t="n">
        <x:v>-1</x:v>
      </x:c>
      <x:c r="L12" s="25" t="n">
        <x:v>0</x:v>
      </x:c>
      <x:c r="M12" s="25" t="n">
        <x:v>0</x:v>
      </x:c>
      <x:c r="N12" s="19" t="str">
        <x:v>https://www.instagram.com/p/DZsDH6OR4yk/</x:v>
      </x:c>
      <x:c r="O12" s="19" t="str"/>
      <x:c r="P12" s="19" t="str">
        <x:v>Likely relevant</x:v>
      </x:c>
      <x:c r="Q12" s="19" t="str">
        <x:v>No</x:v>
      </x:c>
      <x:c r="R12" s="19" t="str">
        <x:v>Scrape comments</x:v>
      </x:c>
      <x:c r="S12" s="19" t="str">
        <x:v>No</x:v>
      </x:c>
      <x:c r="T12" s="22" t="str">
        <x:v>The post explicitly names/tags American Apparel or an identified AA product/style.</x:v>
      </x:c>
    </x:row>
    <x:row r="13">
      <x:c r="A13" s="9" t="str">
        <x:v>Instagram</x:v>
      </x:c>
      <x:c r="B13" s="10" t="str">
        <x:v>IG mention</x:v>
      </x:c>
      <x:c r="C13" s="10" t="str">
        <x:v>3921581560498159511</x:v>
      </x:c>
      <x:c r="D13" s="16" t="n">
        <x:v>46190.63295138889</x:v>
      </x:c>
      <x:c r="E13" s="10" t="str">
        <x:v>lanay.el</x:v>
      </x:c>
      <x:c r="F13" s="10" t="str">
        <x:v>Video</x:v>
      </x:c>
      <x:c r="G13" s="19" t="str">
        <x:v>Look du jour! Ma tenue : Pantalon @_beyond_nine Top @americanapparel Chaussures @jonak</x:v>
      </x:c>
      <x:c r="H13" s="19" t="str"/>
      <x:c r="I13" s="19" t="str">
        <x:v>@_beyond_nine @americanapparel @jonak</x:v>
      </x:c>
      <x:c r="J13" s="25" t="n">
        <x:v>3</x:v>
      </x:c>
      <x:c r="K13" s="25" t="n">
        <x:v>29</x:v>
      </x:c>
      <x:c r="L13" s="25" t="n">
        <x:v>0</x:v>
      </x:c>
      <x:c r="M13" s="25" t="n">
        <x:v>0</x:v>
      </x:c>
      <x:c r="N13" s="19" t="str">
        <x:v>https://www.instagram.com/p/DZsQabfNv-X/</x:v>
      </x:c>
      <x:c r="O13" s="19" t="str"/>
      <x:c r="P13" s="19" t="str">
        <x:v>Likely relevant</x:v>
      </x:c>
      <x:c r="Q13" s="19" t="str">
        <x:v>No</x:v>
      </x:c>
      <x:c r="R13" s="19" t="str">
        <x:v>Scrape comments</x:v>
      </x:c>
      <x:c r="S13" s="19" t="str">
        <x:v>No</x:v>
      </x:c>
      <x:c r="T13" s="22" t="str">
        <x:v>The post explicitly names/tags American Apparel or an identified AA product/style.</x:v>
      </x:c>
    </x:row>
    <x:row r="14">
      <x:c r="A14" s="9" t="str">
        <x:v>Instagram</x:v>
      </x:c>
      <x:c r="B14" s="10" t="str">
        <x:v>IG mention</x:v>
      </x:c>
      <x:c r="C14" s="10" t="str">
        <x:v>3923170980448983220</x:v>
      </x:c>
      <x:c r="D14" s="16" t="n">
        <x:v>46193.112488425926</x:v>
      </x:c>
      <x:c r="E14" s="10" t="str">
        <x:v>thatssoyin</x:v>
      </x:c>
      <x:c r="F14" s="10" t="str">
        <x:v>Video</x:v>
      </x:c>
      <x:c r="G14" s="19" t="str">
        <x:v>DISNEY OUTFIT INSPO! Top @aeropostale Shorts @americanapparel Sunnies @blueelephant.co zaza khaki Earrings Idole Hour (discontinued) Fanny @herschelsupply Wallet @katespadeny Pompompurin @miniso.official Ears @disney Lip combo @lorealparis blurfiller nude espresso + @laka.official glam tint toffee</x:v>
      </x:c>
      <x:c r="H14" s="19" t="str"/>
      <x:c r="I14" s="19" t="str">
        <x:v>@aeropostale @americanapparel @blueelephant.co @herschelsupply @katespadeny @miniso.official @disney @lorealparis @laka.official</x:v>
      </x:c>
      <x:c r="J14" s="25" t="n">
        <x:v>3</x:v>
      </x:c>
      <x:c r="K14" s="25" t="n">
        <x:v>47</x:v>
      </x:c>
      <x:c r="L14" s="25" t="n">
        <x:v>0</x:v>
      </x:c>
      <x:c r="M14" s="25" t="n">
        <x:v>0</x:v>
      </x:c>
      <x:c r="N14" s="19" t="str">
        <x:v>https://www.instagram.com/p/DZx5ziKyFi0/</x:v>
      </x:c>
      <x:c r="O14" s="19" t="str"/>
      <x:c r="P14" s="19" t="str">
        <x:v>Likely relevant</x:v>
      </x:c>
      <x:c r="Q14" s="19" t="str">
        <x:v>No</x:v>
      </x:c>
      <x:c r="R14" s="19" t="str">
        <x:v>Scrape comments</x:v>
      </x:c>
      <x:c r="S14" s="19" t="str">
        <x:v>No</x:v>
      </x:c>
      <x:c r="T14" s="22" t="str">
        <x:v>The post explicitly names/tags American Apparel or an identified AA product/style.</x:v>
      </x:c>
    </x:row>
    <x:row r="15">
      <x:c r="A15" s="9" t="str">
        <x:v>Instagram</x:v>
      </x:c>
      <x:c r="B15" s="10" t="str">
        <x:v>IG mention + IG hashtag</x:v>
      </x:c>
      <x:c r="C15" s="10" t="str">
        <x:v>3924288106337825760</x:v>
      </x:c>
      <x:c r="D15" s="16" t="n">
        <x:v>46194.365949074076</x:v>
      </x:c>
      <x:c r="E15" s="10" t="str">
        <x:v>lamaisongaga_</x:v>
      </x:c>
      <x:c r="F15" s="10" t="str">
        <x:v>Sidecar</x:v>
      </x:c>
      <x:c r="G15" s="19" t="str">
        <x:v>Out &amp; About | New York City, USA 🇺🇸 | January 20, 2011 A few lucky fans met Lady Gaga while she looked casual yet still very her in the @AmericanApparel black cotton unisex zip hoodie with contrasting white zipper and drawstrings, she wore underneath her vintage black leather biker vest. The sunnies are "F.D.R." (Franklin Delano Roosevelt) by @TartOpticalUSA eyewear collection in "Demi Amber" from #JacksEyewear store in LA, produced by the label back in the 50s. More on lamaisongaga.com | #AmericanApparel #TartOpticalEnterprises</x:v>
      </x:c>
      <x:c r="H15" s="19" t="str">
        <x:v>#JacksEyewear #AmericanApparel #TartOpticalEnterprises</x:v>
      </x:c>
      <x:c r="I15" s="19" t="str">
        <x:v>@AmericanApparel @TartOpticalUSA @americanapparel @tartopticalusa</x:v>
      </x:c>
      <x:c r="J15" s="25" t="n">
        <x:v>3</x:v>
      </x:c>
      <x:c r="K15" s="25" t="n">
        <x:v>-1</x:v>
      </x:c>
      <x:c r="L15" s="25" t="n">
        <x:v>0</x:v>
      </x:c>
      <x:c r="M15" s="25" t="n">
        <x:v>0</x:v>
      </x:c>
      <x:c r="N15" s="19" t="str">
        <x:v>https://www.instagram.com/p/DZ13z2ujnPg/</x:v>
      </x:c>
      <x:c r="O15" s="19" t="str">
        <x:v>Hoodie</x:v>
      </x:c>
      <x:c r="P15" s="19" t="str">
        <x:v>Likely relevant</x:v>
      </x:c>
      <x:c r="Q15" s="19" t="str">
        <x:v>No</x:v>
      </x:c>
      <x:c r="R15" s="19" t="str">
        <x:v>Scrape comments</x:v>
      </x:c>
      <x:c r="S15" s="19" t="str">
        <x:v>No</x:v>
      </x:c>
      <x:c r="T15" s="22" t="str">
        <x:v>The post explicitly names/tags American Apparel or an identified AA product/style.</x:v>
      </x:c>
    </x:row>
    <x:row r="16">
      <x:c r="A16" s="9" t="str">
        <x:v>Instagram</x:v>
      </x:c>
      <x:c r="B16" s="10" t="str">
        <x:v>IG hashtag</x:v>
      </x:c>
      <x:c r="C16" s="10" t="str">
        <x:v>3928916215691594677</x:v>
      </x:c>
      <x:c r="D16" s="16" t="n">
        <x:v>46200.75152777778</x:v>
      </x:c>
      <x:c r="E16" s="10" t="str">
        <x:v>mooseranchboutique</x:v>
      </x:c>
      <x:c r="F16" s="10" t="str">
        <x:v>Sidecar</x:v>
      </x:c>
      <x:c r="G16" s="19" t="str">
        <x:v>🔥Grab these Favorites before they sell out! 40% off plus FREE SHIPPING! Ships next day! 🇺🇸 #boutique #americanapparel #womenapparel #boutiqueshopping #shopsmall</x:v>
      </x:c>
      <x:c r="H16" s="19" t="str">
        <x:v>#boutique #americanapparel #womenapparel #boutiqueshopping #shopsmall</x:v>
      </x:c>
      <x:c r="I16" s="19" t="str"/>
      <x:c r="J16" s="25" t="n">
        <x:v>3</x:v>
      </x:c>
      <x:c r="K16" s="25" t="n">
        <x:v>2</x:v>
      </x:c>
      <x:c r="L16" s="25" t="n">
        <x:v>0</x:v>
      </x:c>
      <x:c r="M16" s="25" t="n">
        <x:v>0</x:v>
      </x:c>
      <x:c r="N16" s="19" t="str">
        <x:v>https://www.instagram.com/p/DaGUHtckcu1/</x:v>
      </x:c>
      <x:c r="O16" s="19" t="str"/>
      <x:c r="P16" s="19" t="str">
        <x:v>Likely relevant</x:v>
      </x:c>
      <x:c r="Q16" s="19" t="str">
        <x:v>No</x:v>
      </x:c>
      <x:c r="R16" s="19" t="str">
        <x:v>Scrape comments</x:v>
      </x:c>
      <x:c r="S16" s="19" t="str">
        <x:v>No</x:v>
      </x:c>
      <x:c r="T16" s="22" t="str">
        <x:v>The post explicitly names/tags American Apparel or an identified AA product/style.</x:v>
      </x:c>
    </x:row>
    <x:row r="17">
      <x:c r="A17" s="9" t="str">
        <x:v>TikTok</x:v>
      </x:c>
      <x:c r="B17" s="10" t="str">
        <x:v>TikTok hashtag — validation</x:v>
      </x:c>
      <x:c r="C17" s="10" t="str">
        <x:v>7648405692566523150</x:v>
      </x:c>
      <x:c r="D17" s="16" t="n">
        <x:v>46179.917175925926</x:v>
      </x:c>
      <x:c r="E17" s="10" t="str">
        <x:v>onlyoliviajasmine</x:v>
      </x:c>
      <x:c r="F17" s="10" t="str">
        <x:v>Video</x:v>
      </x:c>
      <x:c r="G17" s="19" t="str">
        <x:v>@Los Angeles Apparel #losangelesapparel #americanapparel #nostalgia #vibes #fyp</x:v>
      </x:c>
      <x:c r="H17" s="19" t="str">
        <x:v>#losangelesapparel #americanapparel #nostalgia #vibes #fyp</x:v>
      </x:c>
      <x:c r="I17" s="19" t="str"/>
      <x:c r="J17" s="25" t="n">
        <x:v>2</x:v>
      </x:c>
      <x:c r="K17" s="25" t="n">
        <x:v>144</x:v>
      </x:c>
      <x:c r="L17" s="25" t="n">
        <x:v>1710</x:v>
      </x:c>
      <x:c r="M17" s="25" t="n">
        <x:v>9</x:v>
      </x:c>
      <x:c r="N17" s="19" t="str">
        <x:v>https://www.tiktok.com/@onlyoliviajasmine/video/7648405692566523150</x:v>
      </x:c>
      <x:c r="O17" s="19" t="str"/>
      <x:c r="P17" s="19" t="str">
        <x:v>Likely relevant</x:v>
      </x:c>
      <x:c r="Q17" s="19" t="str">
        <x:v>Review — nostalgia/awareness adjacent</x:v>
      </x:c>
      <x:c r="R17" s="19" t="str">
        <x:v>Scrape comments</x:v>
      </x:c>
      <x:c r="S17" s="19" t="str">
        <x:v>Yes</x:v>
      </x:c>
      <x:c r="T17" s="22" t="str">
        <x:v>The post explicitly names/tags American Apparel or an identified AA product/style.</x:v>
      </x:c>
    </x:row>
    <x:row r="18">
      <x:c r="A18" s="9" t="str">
        <x:v>Instagram</x:v>
      </x:c>
      <x:c r="B18" s="10" t="str">
        <x:v>IG hashtag</x:v>
      </x:c>
      <x:c r="C18" s="10" t="str">
        <x:v>3922422499866343570</x:v>
      </x:c>
      <x:c r="D18" s="16" t="n">
        <x:v>46191.79690972222</x:v>
      </x:c>
      <x:c r="E18" s="10" t="str">
        <x:v>barbiepinkcatlady</x:v>
      </x:c>
      <x:c r="F18" s="10" t="str">
        <x:v>Image</x:v>
      </x:c>
      <x:c r="G18" s="19" t="str">
        <x:v>A blush pink throwback 💞 American Apparel was an iconic brand in the 2010s. I still have their lace dress and matching undergarments. The Betsey Johnson heels and clutch, too 💕 #Throwback #AmericanApparel #2010s #BaddestCatLady #Pink</x:v>
      </x:c>
      <x:c r="H18" s="19" t="str">
        <x:v>#Throwback #AmericanApparel #2010s #BaddestCatLady #Pink</x:v>
      </x:c>
      <x:c r="I18" s="19" t="str"/>
      <x:c r="J18" s="25" t="n">
        <x:v>2</x:v>
      </x:c>
      <x:c r="K18" s="25" t="n">
        <x:v>11</x:v>
      </x:c>
      <x:c r="L18" s="25" t="n">
        <x:v>0</x:v>
      </x:c>
      <x:c r="M18" s="25" t="n">
        <x:v>0</x:v>
      </x:c>
      <x:c r="N18" s="19" t="str">
        <x:v>https://www.instagram.com/p/DZvPntTiHiS/</x:v>
      </x:c>
      <x:c r="O18" s="19" t="str"/>
      <x:c r="P18" s="19" t="str">
        <x:v>Likely relevant</x:v>
      </x:c>
      <x:c r="Q18" s="19" t="str">
        <x:v>Review — nostalgia/awareness adjacent</x:v>
      </x:c>
      <x:c r="R18" s="19" t="str">
        <x:v>Scrape comments</x:v>
      </x:c>
      <x:c r="S18" s="19" t="str">
        <x:v>Yes</x:v>
      </x:c>
      <x:c r="T18" s="22" t="str">
        <x:v>The post explicitly names/tags American Apparel or an identified AA product/style.</x:v>
      </x:c>
    </x:row>
    <x:row r="19">
      <x:c r="A19" s="9" t="str">
        <x:v>TikTok</x:v>
      </x:c>
      <x:c r="B19" s="10" t="str">
        <x:v>TikTok hashtag — validation</x:v>
      </x:c>
      <x:c r="C19" s="10" t="str">
        <x:v>7653908014126222622</x:v>
      </x:c>
      <x:c r="D19" s="16" t="n">
        <x:v>46194.744791666664</x:v>
      </x:c>
      <x:c r="E19" s="10" t="str">
        <x:v>brandydonuttop</x:v>
      </x:c>
      <x:c r="F19" s="10" t="str">
        <x:v>Video</x:v>
      </x:c>
      <x:c r="G19" s="19" t="str">
        <x:v>Soo cute!! #skaterdress #americanapparel #2014 #tumblraesthetic #fyp</x:v>
      </x:c>
      <x:c r="H19" s="19" t="str">
        <x:v>#skaterdress #americanapparel #2014 #tumblraesthetic #fyp</x:v>
      </x:c>
      <x:c r="I19" s="19" t="str"/>
      <x:c r="J19" s="25" t="n">
        <x:v>2</x:v>
      </x:c>
      <x:c r="K19" s="25" t="n">
        <x:v>36</x:v>
      </x:c>
      <x:c r="L19" s="25" t="n">
        <x:v>952</x:v>
      </x:c>
      <x:c r="M19" s="25" t="n">
        <x:v>0</x:v>
      </x:c>
      <x:c r="N19" s="19" t="str">
        <x:v>https://www.tiktok.com/@brandydonuttop/video/7653908014126222622</x:v>
      </x:c>
      <x:c r="O19" s="19" t="str"/>
      <x:c r="P19" s="19" t="str">
        <x:v>Likely relevant</x:v>
      </x:c>
      <x:c r="Q19" s="19" t="str">
        <x:v>No</x:v>
      </x:c>
      <x:c r="R19" s="19" t="str">
        <x:v>Scrape comments</x:v>
      </x:c>
      <x:c r="S19" s="19" t="str">
        <x:v>No</x:v>
      </x:c>
      <x:c r="T19" s="22" t="str">
        <x:v>The post explicitly names/tags American Apparel or an identified AA product/style.</x:v>
      </x:c>
    </x:row>
    <x:row r="20">
      <x:c r="A20" s="9" t="str">
        <x:v>Instagram</x:v>
      </x:c>
      <x:c r="B20" s="10" t="str">
        <x:v>IG hashtag</x:v>
      </x:c>
      <x:c r="C20" s="10" t="str">
        <x:v>3930277894816449069</x:v>
      </x:c>
      <x:c r="D20" s="16" t="n">
        <x:v>46202.63028935185</x:v>
      </x:c>
      <x:c r="E20" s="10" t="str">
        <x:v>thisvintagetee.id</x:v>
      </x:c>
      <x:c r="F20" s="10" t="str">
        <x:v>Sidecar</x:v>
      </x:c>
      <x:c r="G20" s="19" t="str">
        <x:v>❌❌ SOLDOUT ❌❌ "Did you know Avril Lavigne’s 'Black Star' tour was originally named after a 30-second perfume jingle?" "True story! She wrote 'Black Star' just for her fragrance commercial before fans demanded a full song, leading to this iconic 2011 world tour. This official merch features an amazing green star graphic on the front and the rare Asian leg tour dates on the back. Crisp print, faded beautifully on a classic American Apparel tag. Drop a DM for size details and worldwide shipping! 🌍✈️"</x:v>
      </x:c>
      <x:c r="H20" s="19" t="str"/>
      <x:c r="I20" s="19" t="str"/>
      <x:c r="J20" s="25" t="n">
        <x:v>2</x:v>
      </x:c>
      <x:c r="K20" s="25" t="n">
        <x:v>20</x:v>
      </x:c>
      <x:c r="L20" s="25" t="n">
        <x:v>0</x:v>
      </x:c>
      <x:c r="M20" s="25" t="n">
        <x:v>0</x:v>
      </x:c>
      <x:c r="N20" s="19" t="str">
        <x:v>https://www.instagram.com/p/DaLJuv9GsIt/</x:v>
      </x:c>
      <x:c r="O20" s="19" t="str"/>
      <x:c r="P20" s="19" t="str">
        <x:v>Likely relevant</x:v>
      </x:c>
      <x:c r="Q20" s="19" t="str">
        <x:v>No</x:v>
      </x:c>
      <x:c r="R20" s="19" t="str">
        <x:v>Scrape comments</x:v>
      </x:c>
      <x:c r="S20" s="19" t="str">
        <x:v>No</x:v>
      </x:c>
      <x:c r="T20" s="22" t="str">
        <x:v>The post explicitly names/tags American Apparel or an identified AA product/style.</x:v>
      </x:c>
    </x:row>
    <x:row r="21">
      <x:c r="A21" s="9" t="str">
        <x:v>TikTok</x:v>
      </x:c>
      <x:c r="B21" s="10" t="str">
        <x:v>TikTok hashtag — validation</x:v>
      </x:c>
      <x:c r="C21" s="10" t="str">
        <x:v>7648361797971430686</x:v>
      </x:c>
      <x:c r="D21" s="16" t="n">
        <x:v>46179.798796296294</x:v>
      </x:c>
      <x:c r="E21" s="10" t="str">
        <x:v>png.7002</x:v>
      </x:c>
      <x:c r="F21" s="10" t="str">
        <x:v>Video</x:v>
      </x:c>
      <x:c r="G21" s="19" t="str">
        <x:v>#americanapparel #moodboard #fyp #foryoupage #americanapparelusa</x:v>
      </x:c>
      <x:c r="H21" s="19" t="str">
        <x:v>#americanapparel #moodboard #fyp #foryoupage #americanapparelusa</x:v>
      </x:c>
      <x:c r="I21" s="19" t="str"/>
      <x:c r="J21" s="25" t="n">
        <x:v>1</x:v>
      </x:c>
      <x:c r="K21" s="25" t="n">
        <x:v>2578</x:v>
      </x:c>
      <x:c r="L21" s="25" t="n">
        <x:v>16372</x:v>
      </x:c>
      <x:c r="M21" s="25" t="n">
        <x:v>126</x:v>
      </x:c>
      <x:c r="N21" s="19" t="str">
        <x:v>https://www.tiktok.com/@png.7002/video/7648361797971430686</x:v>
      </x:c>
      <x:c r="O21" s="19" t="str"/>
      <x:c r="P21" s="19" t="str">
        <x:v>Likely relevant</x:v>
      </x:c>
      <x:c r="Q21" s="19" t="str">
        <x:v>No</x:v>
      </x:c>
      <x:c r="R21" s="19" t="str">
        <x:v>Scrape comments</x:v>
      </x:c>
      <x:c r="S21" s="19" t="str">
        <x:v>No</x:v>
      </x:c>
      <x:c r="T21" s="22" t="str">
        <x:v>The post explicitly names/tags American Apparel or an identified AA product/style.</x:v>
      </x:c>
    </x:row>
    <x:row r="22">
      <x:c r="A22" s="9" t="str">
        <x:v>Instagram</x:v>
      </x:c>
      <x:c r="B22" s="10" t="str">
        <x:v>IG hashtag</x:v>
      </x:c>
      <x:c r="C22" s="10" t="str">
        <x:v>3920081940603578416</x:v>
      </x:c>
      <x:c r="D22" s="16" t="n">
        <x:v>46188.56255787037</x:v>
      </x:c>
      <x:c r="E22" s="10" t="str">
        <x:v>americanapparelindia</x:v>
      </x:c>
      <x:c r="F22" s="10" t="str">
        <x:v>Image</x:v>
      </x:c>
      <x:c r="G22" s="19" t="str">
        <x:v>COTTON JOGGERS Move easy. Stay comfortable. Ways to wear it. From home to street, comfort that keeps up. Visit us: https://www.myntra.com/track-pants/american+apparel/american-apparel-unisex-mid-rise-track-pants/37737750/buy #AmericanApparel #Joggers #EffortlessCool #EverydayStyle #MinimalStyle #Reach #Trending</x:v>
      </x:c>
      <x:c r="H22" s="19" t="str">
        <x:v>#AmericanApparel #Joggers #EffortlessCool #EverydayStyle #MinimalStyle #Reach #Trending</x:v>
      </x:c>
      <x:c r="I22" s="19" t="str"/>
      <x:c r="J22" s="25" t="n">
        <x:v>1</x:v>
      </x:c>
      <x:c r="K22" s="25" t="n">
        <x:v>1584</x:v>
      </x:c>
      <x:c r="L22" s="25" t="n">
        <x:v>0</x:v>
      </x:c>
      <x:c r="M22" s="25" t="n">
        <x:v>0</x:v>
      </x:c>
      <x:c r="N22" s="19" t="str">
        <x:v>https://www.instagram.com/p/DZm7cFoGagw/</x:v>
      </x:c>
      <x:c r="O22" s="19" t="str"/>
      <x:c r="P22" s="19" t="str">
        <x:v>Likely relevant</x:v>
      </x:c>
      <x:c r="Q22" s="19" t="str">
        <x:v>No</x:v>
      </x:c>
      <x:c r="R22" s="19" t="str">
        <x:v>Scrape comments</x:v>
      </x:c>
      <x:c r="S22" s="19" t="str">
        <x:v>No</x:v>
      </x:c>
      <x:c r="T22" s="22" t="str">
        <x:v>The post explicitly names/tags American Apparel or an identified AA product/style.</x:v>
      </x:c>
    </x:row>
    <x:row r="23">
      <x:c r="A23" s="9" t="str">
        <x:v>Instagram</x:v>
      </x:c>
      <x:c r="B23" s="10" t="str">
        <x:v>IG mention</x:v>
      </x:c>
      <x:c r="C23" s="10" t="str">
        <x:v>3920130691232853497</x:v>
      </x:c>
      <x:c r="D23" s="16" t="n">
        <x:v>46188.62981481481</x:v>
      </x:c>
      <x:c r="E23" s="10" t="str">
        <x:v>icono.collections</x:v>
      </x:c>
      <x:c r="F23" s="10" t="str">
        <x:v>Sidecar</x:v>
      </x:c>
      <x:c r="G23" s="19" t="str">
        <x:v>Léa Seydoux for American Apparel ads in 2006-2011</x:v>
      </x:c>
      <x:c r="H23" s="19" t="str"/>
      <x:c r="I23" s="19" t="str">
        <x:v>@americanapparel</x:v>
      </x:c>
      <x:c r="J23" s="25" t="n">
        <x:v>1</x:v>
      </x:c>
      <x:c r="K23" s="25" t="n">
        <x:v>-1</x:v>
      </x:c>
      <x:c r="L23" s="25" t="n">
        <x:v>0</x:v>
      </x:c>
      <x:c r="M23" s="25" t="n">
        <x:v>0</x:v>
      </x:c>
      <x:c r="N23" s="19" t="str">
        <x:v>https://www.instagram.com/p/DZnGhgMCm35/</x:v>
      </x:c>
      <x:c r="O23" s="19" t="str"/>
      <x:c r="P23" s="19" t="str">
        <x:v>Likely relevant</x:v>
      </x:c>
      <x:c r="Q23" s="19" t="str">
        <x:v>No</x:v>
      </x:c>
      <x:c r="R23" s="19" t="str">
        <x:v>Scrape comments</x:v>
      </x:c>
      <x:c r="S23" s="19" t="str">
        <x:v>No</x:v>
      </x:c>
      <x:c r="T23" s="22" t="str">
        <x:v>The post explicitly names/tags American Apparel or an identified AA product/style.</x:v>
      </x:c>
    </x:row>
    <x:row r="24">
      <x:c r="A24" s="9" t="str">
        <x:v>Instagram</x:v>
      </x:c>
      <x:c r="B24" s="10" t="str">
        <x:v>IG hashtag</x:v>
      </x:c>
      <x:c r="C24" s="10" t="str">
        <x:v>3921214687118054405</x:v>
      </x:c>
      <x:c r="D24" s="16" t="n">
        <x:v>46190.13017361111</x:v>
      </x:c>
      <x:c r="E24" s="10" t="str">
        <x:v>theprintlabnewyork</x:v>
      </x:c>
      <x:c r="F24" s="10" t="str">
        <x:v>Image</x:v>
      </x:c>
      <x:c r="G24" s="19" t="str">
        <x:v>Limited Edition: A vintage-inspired trucker cap commemorating America’s 250th Anniversary (1776–2026). Embroidered patriotic design, breathable mesh back, and adjustable snapback closure. 🇺🇸Purchase on www.theprintlabny.com $35, while supplies last! #america #america250 #americanapparel #truckercaps #4thofjuly</x:v>
      </x:c>
      <x:c r="H24" s="19" t="str">
        <x:v>#america #america250 #americanapparel #truckercaps #4thofjuly</x:v>
      </x:c>
      <x:c r="I24" s="19" t="str"/>
      <x:c r="J24" s="25" t="n">
        <x:v>1</x:v>
      </x:c>
      <x:c r="K24" s="25" t="n">
        <x:v>4</x:v>
      </x:c>
      <x:c r="L24" s="25" t="n">
        <x:v>0</x:v>
      </x:c>
      <x:c r="M24" s="25" t="n">
        <x:v>0</x:v>
      </x:c>
      <x:c r="N24" s="19" t="str">
        <x:v>https://www.instagram.com/p/DZq8_uBt1QF/</x:v>
      </x:c>
      <x:c r="O24" s="19" t="str"/>
      <x:c r="P24" s="19" t="str">
        <x:v>Likely relevant</x:v>
      </x:c>
      <x:c r="Q24" s="19" t="str">
        <x:v>No</x:v>
      </x:c>
      <x:c r="R24" s="19" t="str">
        <x:v>Scrape comments</x:v>
      </x:c>
      <x:c r="S24" s="19" t="str">
        <x:v>No</x:v>
      </x:c>
      <x:c r="T24" s="22" t="str">
        <x:v>The post explicitly names/tags American Apparel or an identified AA product/style.</x:v>
      </x:c>
    </x:row>
    <x:row r="25">
      <x:c r="A25" s="9" t="str">
        <x:v>Instagram</x:v>
      </x:c>
      <x:c r="B25" s="10" t="str">
        <x:v>IG hashtag</x:v>
      </x:c>
      <x:c r="C25" s="10" t="str">
        <x:v>3921328923811852692</x:v>
      </x:c>
      <x:c r="D25" s="16" t="n">
        <x:v>46190.28605324074</x:v>
      </x:c>
      <x:c r="E25" s="10" t="str">
        <x:v>press.brothers</x:v>
      </x:c>
      <x:c r="F25" s="10" t="str">
        <x:v>Image</x:v>
      </x:c>
      <x:c r="G25" s="19" t="str">
        <x:v>Crop tees. Heavy tees. Drop shoulder tees. Caps from flexfit, ascolour, inivi and more. Print or engrave. Let us mock something up for you so you can stop wondering. #ascolour #americanapparel #ramo</x:v>
      </x:c>
      <x:c r="H25" s="19" t="str">
        <x:v>#ascolour #americanapparel #ramo</x:v>
      </x:c>
      <x:c r="I25" s="19" t="str"/>
      <x:c r="J25" s="25" t="n">
        <x:v>1</x:v>
      </x:c>
      <x:c r="K25" s="25" t="n">
        <x:v>6</x:v>
      </x:c>
      <x:c r="L25" s="25" t="n">
        <x:v>0</x:v>
      </x:c>
      <x:c r="M25" s="25" t="n">
        <x:v>0</x:v>
      </x:c>
      <x:c r="N25" s="19" t="str">
        <x:v>https://www.instagram.com/p/DZrW-FPRTGU/</x:v>
      </x:c>
      <x:c r="O25" s="19" t="str"/>
      <x:c r="P25" s="19" t="str">
        <x:v>Likely relevant</x:v>
      </x:c>
      <x:c r="Q25" s="19" t="str">
        <x:v>No</x:v>
      </x:c>
      <x:c r="R25" s="19" t="str">
        <x:v>Scrape comments</x:v>
      </x:c>
      <x:c r="S25" s="19" t="str">
        <x:v>No</x:v>
      </x:c>
      <x:c r="T25" s="22" t="str">
        <x:v>The post explicitly names/tags American Apparel or an identified AA product/style.</x:v>
      </x:c>
    </x:row>
    <x:row r="26">
      <x:c r="A26" s="9" t="str">
        <x:v>Instagram</x:v>
      </x:c>
      <x:c r="B26" s="10" t="str">
        <x:v>IG hashtag</x:v>
      </x:c>
      <x:c r="C26" s="10" t="str">
        <x:v>3924415586461581610</x:v>
      </x:c>
      <x:c r="D26" s="16" t="n">
        <x:v>46194.54184027778</x:v>
      </x:c>
      <x:c r="E26" s="10" t="str">
        <x:v>ezyt.thailand</x:v>
      </x:c>
      <x:c r="F26" s="10" t="str">
        <x:v>Sidecar</x:v>
      </x:c>
      <x:c r="G26" s="19" t="str">
        <x:v>บางสิ่งต้องใช้เวลา... และเสื้อตัวโปรดก็เป็นหนึ่งในนั้น TIME STAGE Garment Dyed Heavyweight T-Shirt ที่ออกแบบมาให้เกิดคาแรกเตอร์จากการใช้งานจริง ไม่ใช่เสื้อที่พยายามดูวินเทจตั้งแต่วันแรก แต่เป็นเสื้อที่พร้อมรับทุกการเดินทาง ทุกการสวมใส่ และทุกเรื่องราวที่กำลังจะเกิดขึ้น ยิ่งใส่ ยิ่งเป็นตัวคุณ... 📌กดสั่งซื้อได้ที่ Linktree หน้า BIO ได้เลย #americanapparel #vintagestyle #ezytthailand</x:v>
      </x:c>
      <x:c r="H26" s="19" t="str">
        <x:v>#americanapparel #vintagestyle #ezytthailand</x:v>
      </x:c>
      <x:c r="I26" s="19" t="str"/>
      <x:c r="J26" s="25" t="n">
        <x:v>1</x:v>
      </x:c>
      <x:c r="K26" s="25" t="n">
        <x:v>122</x:v>
      </x:c>
      <x:c r="L26" s="25" t="n">
        <x:v>0</x:v>
      </x:c>
      <x:c r="M26" s="25" t="n">
        <x:v>0</x:v>
      </x:c>
      <x:c r="N26" s="19" t="str">
        <x:v>https://www.instagram.com/p/DZ2Uy72DIEq/</x:v>
      </x:c>
      <x:c r="O26" s="19" t="str"/>
      <x:c r="P26" s="19" t="str">
        <x:v>Likely relevant</x:v>
      </x:c>
      <x:c r="Q26" s="19" t="str">
        <x:v>No</x:v>
      </x:c>
      <x:c r="R26" s="19" t="str">
        <x:v>Scrape comments</x:v>
      </x:c>
      <x:c r="S26" s="19" t="str">
        <x:v>No</x:v>
      </x:c>
      <x:c r="T26" s="22" t="str">
        <x:v>The post explicitly names/tags American Apparel or an identified AA product/style.</x:v>
      </x:c>
    </x:row>
    <x:row r="27">
      <x:c r="A27" s="9" t="str">
        <x:v>Instagram</x:v>
      </x:c>
      <x:c r="B27" s="10" t="str">
        <x:v>IG hashtag</x:v>
      </x:c>
      <x:c r="C27" s="10" t="str">
        <x:v>3927335754037153164</x:v>
      </x:c>
      <x:c r="D27" s="16" t="n">
        <x:v>46198.570914351854</x:v>
      </x:c>
      <x:c r="E27" s="10" t="str">
        <x:v>personalized.graphics.store</x:v>
      </x:c>
      <x:c r="F27" s="10" t="str">
        <x:v>Image</x:v>
      </x:c>
      <x:c r="G27" s="19" t="str">
        <x:v>🇺🇸 250 years, 250 shirts. We made it count. Hot rod + flag + "1776 • 2026 • 250 Years" — this one's basically a rolling 4th of July party on a tee. Limited run — only 250 made, gone by Labor Day, no restock. $24.99. 🔗 link in bio #250thbirthday #250thpost❤️ #250thpost #250thanniversary #250thanniversaryofthefoundingoftheunitedstate #4thofjulyweekend #4thofjuly🇺🇸🇺🇸 #americanapparel</x:v>
      </x:c>
      <x:c r="H27" s="19" t="str">
        <x:v>#250thbirthday #250thpost❤️ #250thpost #250thanniversary #250thanniversaryofthefoundingoftheunitedstate #4thofjulyweekend #4thofjuly🇺🇸🇺🇸 #americanapparel</x:v>
      </x:c>
      <x:c r="I27" s="19" t="str"/>
      <x:c r="J27" s="25" t="n">
        <x:v>1</x:v>
      </x:c>
      <x:c r="K27" s="25" t="n">
        <x:v>1</x:v>
      </x:c>
      <x:c r="L27" s="25" t="n">
        <x:v>0</x:v>
      </x:c>
      <x:c r="M27" s="25" t="n">
        <x:v>0</x:v>
      </x:c>
      <x:c r="N27" s="19" t="str">
        <x:v>https://www.instagram.com/p/DaAsw91E02M/</x:v>
      </x:c>
      <x:c r="O27" s="19" t="str"/>
      <x:c r="P27" s="19" t="str">
        <x:v>Likely relevant</x:v>
      </x:c>
      <x:c r="Q27" s="19" t="str">
        <x:v>No</x:v>
      </x:c>
      <x:c r="R27" s="19" t="str">
        <x:v>Scrape comments</x:v>
      </x:c>
      <x:c r="S27" s="19" t="str">
        <x:v>No</x:v>
      </x:c>
      <x:c r="T27" s="22" t="str">
        <x:v>The post explicitly names/tags American Apparel or an identified AA product/style.</x:v>
      </x:c>
    </x:row>
    <x:row r="28">
      <x:c r="A28" s="9" t="str">
        <x:v>Instagram</x:v>
      </x:c>
      <x:c r="B28" s="10" t="str">
        <x:v>IG hashtag</x:v>
      </x:c>
      <x:c r="C28" s="10" t="str">
        <x:v>3931019662092512090</x:v>
      </x:c>
      <x:c r="D28" s="16" t="n">
        <x:v>46203.65372685185</x:v>
      </x:c>
      <x:c r="E28" s="10" t="str">
        <x:v>american_attire_formen</x:v>
      </x:c>
      <x:c r="F28" s="10" t="str">
        <x:v>Sidecar</x:v>
      </x:c>
      <x:c r="G28" s="19" t="str">
        <x:v>Minimal design. Premium fabric. Maximum confidence. From everyday outings to weekend plans — this full-sleeve premium polo is made to keep you looking sharp and feeling comfortable all day. 🎨 Available in 5 Premium Colors: 🤍 Beige 🩷 Dusty Pink 💙 Sky Blue 💚 Sage Green 💛 Lime Green ✔ Premium Fabric ✔ Soft &amp; Breathable ✔ Regular Fit ✔ Sizes: M to 4XL Upgrade your wardrobe with timeless essentials. 📍 American Apparel 📍 Mota Varachha, Surat 📩 DM us to order or visit our store today. #AmericanApparel #PremiumPolo #MensFashion #LuxuryStyle #MinimalFashion EverydayLuxury MensWear PoloTshirt FullSleevePolo PremiumQuality FashionForMen OutfitGoals ClassicStyle SuratFashion MotaVarachha CasualWear SmartCasual OOTD StyleUpgrade TrendingFashion MensStyle LuxuryClothing IndianFashion WardrobeEssentials ShopNow</x:v>
      </x:c>
      <x:c r="H28" s="19" t="str">
        <x:v>#AmericanApparel #PremiumPolo #MensFashion #LuxuryStyle #MinimalFashion</x:v>
      </x:c>
      <x:c r="I28" s="19" t="str"/>
      <x:c r="J28" s="25" t="n">
        <x:v>1</x:v>
      </x:c>
      <x:c r="K28" s="25" t="n">
        <x:v>14</x:v>
      </x:c>
      <x:c r="L28" s="25" t="n">
        <x:v>0</x:v>
      </x:c>
      <x:c r="M28" s="25" t="n">
        <x:v>0</x:v>
      </x:c>
      <x:c r="N28" s="19" t="str">
        <x:v>https://www.instagram.com/p/DaNyY4kGata/</x:v>
      </x:c>
      <x:c r="O28" s="19" t="str"/>
      <x:c r="P28" s="19" t="str">
        <x:v>Likely relevant</x:v>
      </x:c>
      <x:c r="Q28" s="19" t="str">
        <x:v>No</x:v>
      </x:c>
      <x:c r="R28" s="19" t="str">
        <x:v>Scrape comments</x:v>
      </x:c>
      <x:c r="S28" s="19" t="str">
        <x:v>No</x:v>
      </x:c>
      <x:c r="T28" s="22" t="str">
        <x:v>The post explicitly names/tags American Apparel or an identified AA product/style.</x:v>
      </x:c>
    </x:row>
    <x:row r="29">
      <x:c r="A29" s="9" t="str">
        <x:v>Instagram</x:v>
      </x:c>
      <x:c r="B29" s="10" t="str">
        <x:v>IG hashtag</x:v>
      </x:c>
      <x:c r="C29" s="10" t="str">
        <x:v>3917949682085167024</x:v>
      </x:c>
      <x:c r="D29" s="16" t="n">
        <x:v>46185.62059027778</x:v>
      </x:c>
      <x:c r="E29" s="10" t="str">
        <x:v>american_attire_formen</x:v>
      </x:c>
      <x:c r="F29" s="10" t="str">
        <x:v>Sidecar</x:v>
      </x:c>
      <x:c r="G29" s="19" t="str">
        <x:v>Luxury isn’t about showing off. It’s about showing up with confidence. Premium Fits. Timeless Style. Unmatched Quality. Elevate your everyday wardrobe with pieces designed to leave a lasting impression. 📍 American Apparel ✨ Where Style Meets Confidence. #AmericanApparel #MensFashion #LuxuryStyle #PremiumWear #StreetLuxury FashionForMen OOTD StyleEssentials MinimalLuxury ClassicFit ModernMan TrendingFashion LuxuryWardrobe SuratFashion Menswear</x:v>
      </x:c>
      <x:c r="H29" s="19" t="str">
        <x:v>#AmericanApparel #MensFashion #LuxuryStyle #PremiumWear #StreetLuxury</x:v>
      </x:c>
      <x:c r="I29" s="19" t="str"/>
      <x:c r="J29" s="25" t="n">
        <x:v>0</x:v>
      </x:c>
      <x:c r="K29" s="25" t="n">
        <x:v>57</x:v>
      </x:c>
      <x:c r="L29" s="25" t="n">
        <x:v>0</x:v>
      </x:c>
      <x:c r="M29" s="25" t="n">
        <x:v>0</x:v>
      </x:c>
      <x:c r="N29" s="19" t="str">
        <x:v>https://www.instagram.com/p/DZfWnpIin-w/</x:v>
      </x:c>
      <x:c r="O29" s="19" t="str"/>
      <x:c r="P29" s="19" t="str">
        <x:v>Likely relevant</x:v>
      </x:c>
      <x:c r="Q29" s="19" t="str">
        <x:v>No</x:v>
      </x:c>
      <x:c r="R29" s="19" t="str">
        <x:v>Keep post; no comments</x:v>
      </x:c>
      <x:c r="S29" s="19" t="str">
        <x:v>No</x:v>
      </x:c>
      <x:c r="T29" s="22" t="str">
        <x:v>The post explicitly names/tags American Apparel or an identified AA product/style.</x:v>
      </x:c>
    </x:row>
    <x:row r="30">
      <x:c r="A30" s="9" t="str">
        <x:v>Instagram</x:v>
      </x:c>
      <x:c r="B30" s="10" t="str">
        <x:v>IG hashtag</x:v>
      </x:c>
      <x:c r="C30" s="10" t="str">
        <x:v>3918155405728627560</x:v>
      </x:c>
      <x:c r="D30" s="16" t="n">
        <x:v>46185.90572916667</x:v>
      </x:c>
      <x:c r="E30" s="10" t="str">
        <x:v>the.lauren.pearl</x:v>
      </x:c>
      <x:c r="F30" s="10" t="str">
        <x:v>Image</x:v>
      </x:c>
      <x:c r="G30" s="19" t="str">
        <x:v>Ohhh man 😍😍😍 Tomorrow 9am CST • Red, White, Blue 🇺🇸 budandbugs.com • #americanapparel #handcraftedearrings #handmadejewelry #wisconsinlife</x:v>
      </x:c>
      <x:c r="H30" s="19" t="str">
        <x:v>#americanapparel #handcraftedearrings #handmadejewelry #wisconsinlife</x:v>
      </x:c>
      <x:c r="I30" s="19" t="str"/>
      <x:c r="J30" s="25" t="n">
        <x:v>0</x:v>
      </x:c>
      <x:c r="K30" s="25" t="n">
        <x:v>3</x:v>
      </x:c>
      <x:c r="L30" s="25" t="n">
        <x:v>0</x:v>
      </x:c>
      <x:c r="M30" s="25" t="n">
        <x:v>0</x:v>
      </x:c>
      <x:c r="N30" s="19" t="str">
        <x:v>https://www.instagram.com/p/DZgFZUNOzto/</x:v>
      </x:c>
      <x:c r="O30" s="19" t="str"/>
      <x:c r="P30" s="19" t="str">
        <x:v>Likely relevant</x:v>
      </x:c>
      <x:c r="Q30" s="19" t="str">
        <x:v>No</x:v>
      </x:c>
      <x:c r="R30" s="19" t="str">
        <x:v>Keep post; no comments</x:v>
      </x:c>
      <x:c r="S30" s="19" t="str">
        <x:v>No</x:v>
      </x:c>
      <x:c r="T30" s="22" t="str">
        <x:v>The post explicitly names/tags American Apparel or an identified AA product/style.</x:v>
      </x:c>
    </x:row>
    <x:row r="31">
      <x:c r="A31" s="9" t="str">
        <x:v>Instagram</x:v>
      </x:c>
      <x:c r="B31" s="10" t="str">
        <x:v>IG hashtag</x:v>
      </x:c>
      <x:c r="C31" s="10" t="str">
        <x:v>3918315380188388489</x:v>
      </x:c>
      <x:c r="D31" s="16" t="n">
        <x:v>46186.12516203704</x:v>
      </x:c>
      <x:c r="E31" s="10" t="str">
        <x:v>gildan_bangkokthailand</x:v>
      </x:c>
      <x:c r="F31" s="10" t="str">
        <x:v>Image</x:v>
      </x:c>
      <x:c r="G31" s="19" t="str">
        <x:v>🔥 สินค้าขายดีประจำสัปดาห์มาแล้ว! อย่าพลาด 3 รุ่นฮิตที่ลูกค้าสั่งซ้ำทุกอาทิตย์ ถ้าคุณกำลังมองหาเสื้อยืดคุณภาพดี ราคาคุ้ม พร้อมสกรีน — นี่คือคำตอบ 👇 ① American Apparel QUG โทนเทาสโตน ลุควินเทจสุดปัง เสื้อ Oversized ที่ใส่แล้วดูแพง ไม่ต้องพยายาม Shop : https://s.shopee.co.th/6fegIunG6L ② United Athle 5006 เสื้อโอเวอร์ไซซ์มีกระเป๋าอก — ดีไซน์เรียบ แต่มีเอกลักษณ์ เหมาะสำหรับงานสกรีน Custom หรือใส่เองก็เท่ Shop : https://s.shopee.co.th/2g8XXcBrT1 ③ Gildan 2000 Ultra Cotton คลาสสิกที่ไม่มีวันตาย 205 gsm เนื้อแน่น นุ่มมือ ใส่ทน เหมาะทำงาน ทำยูนิฟอร์ม หรือสกรีนขายต่อ Shop : https://s.shopee.co.th/gNT9yqhEy สั่งซื้อ/สอบถามเพิ่มเติม: โทร: 0853649795 / 0826953626 Line: @gildanbkk (มีไลน์ @ นำหน้าด้วยนะคะ) อีเมล: gildanofficial789@gmail.com #Gildan #เสื้อยืดคุณภาพ #เสื้อสกรีน #BestSeller #AmericanApparel #UnitedAthle #Gildan2000</x:v>
      </x:c>
      <x:c r="H31" s="19" t="str">
        <x:v>#Gildan #เสื้อยืดคุณภาพ #เสื้อสกรีน #BestSeller #AmericanApparel #UnitedAthle #Gildan2000</x:v>
      </x:c>
      <x:c r="I31" s="19" t="str">
        <x:v>@gildanbkk</x:v>
      </x:c>
      <x:c r="J31" s="25" t="n">
        <x:v>0</x:v>
      </x:c>
      <x:c r="K31" s="25" t="n">
        <x:v>0</x:v>
      </x:c>
      <x:c r="L31" s="25" t="n">
        <x:v>0</x:v>
      </x:c>
      <x:c r="M31" s="25" t="n">
        <x:v>0</x:v>
      </x:c>
      <x:c r="N31" s="19" t="str">
        <x:v>https://www.instagram.com/p/DZgpxQCFByJ/</x:v>
      </x:c>
      <x:c r="O31" s="19" t="str"/>
      <x:c r="P31" s="19" t="str">
        <x:v>Likely relevant</x:v>
      </x:c>
      <x:c r="Q31" s="19" t="str">
        <x:v>No</x:v>
      </x:c>
      <x:c r="R31" s="19" t="str">
        <x:v>Keep post; no comments</x:v>
      </x:c>
      <x:c r="S31" s="19" t="str">
        <x:v>No</x:v>
      </x:c>
      <x:c r="T31" s="22" t="str">
        <x:v>The post explicitly names/tags American Apparel or an identified AA product/style.</x:v>
      </x:c>
    </x:row>
    <x:row r="32">
      <x:c r="A32" s="9" t="str">
        <x:v>Instagram</x:v>
      </x:c>
      <x:c r="B32" s="10" t="str">
        <x:v>IG mention</x:v>
      </x:c>
      <x:c r="C32" s="10" t="str">
        <x:v>3918393332191009992</x:v>
      </x:c>
      <x:c r="D32" s="16" t="n">
        <x:v>46186.232719907406</x:v>
      </x:c>
      <x:c r="E32" s="10" t="str">
        <x:v>jinswardrobe</x:v>
      </x:c>
      <x:c r="F32" s="10" t="str">
        <x:v>Sidecar</x:v>
      </x:c>
      <x:c r="G32" s="19" t="str">
        <x:v>260613 Sat (☀️ 19℃ / 31℃ 💙) Cap : Mighty Shine Glasses : 80's US Army Shirts : Kapital Top : American Apparel Neckless : 50's Native American Jewerly Pants : 80's Giorgio Armani Shoes : Crockett &amp; Jones Watch : 90's Cartier Bag : My wife made it Scarf : Polo Ralph Lauren #mensfashion #vintage #vintagefashion</x:v>
      </x:c>
      <x:c r="H32" s="19" t="str">
        <x:v>#mensfashion #vintage #vintagefashion</x:v>
      </x:c>
      <x:c r="I32" s="19" t="str">
        <x:v>@ralphlauren @americanapparel @kapitalglobal @cartier @crockettandjones_official @mightyshine_official @frame_montana @giorgioarmani</x:v>
      </x:c>
      <x:c r="J32" s="25" t="n">
        <x:v>0</x:v>
      </x:c>
      <x:c r="K32" s="25" t="n">
        <x:v>135</x:v>
      </x:c>
      <x:c r="L32" s="25" t="n">
        <x:v>0</x:v>
      </x:c>
      <x:c r="M32" s="25" t="n">
        <x:v>0</x:v>
      </x:c>
      <x:c r="N32" s="19" t="str">
        <x:v>https://www.instagram.com/p/DZg7fmfgRzI/</x:v>
      </x:c>
      <x:c r="O32" s="19" t="str"/>
      <x:c r="P32" s="19" t="str">
        <x:v>Likely relevant</x:v>
      </x:c>
      <x:c r="Q32" s="19" t="str">
        <x:v>No</x:v>
      </x:c>
      <x:c r="R32" s="19" t="str">
        <x:v>Keep post; no comments</x:v>
      </x:c>
      <x:c r="S32" s="19" t="str">
        <x:v>No</x:v>
      </x:c>
      <x:c r="T32" s="22" t="str">
        <x:v>The post explicitly names/tags American Apparel or an identified AA product/style.</x:v>
      </x:c>
    </x:row>
    <x:row r="33">
      <x:c r="A33" s="9" t="str">
        <x:v>Instagram</x:v>
      </x:c>
      <x:c r="B33" s="10" t="str">
        <x:v>IG hashtag</x:v>
      </x:c>
      <x:c r="C33" s="10" t="str">
        <x:v>3919335495696009660</x:v>
      </x:c>
      <x:c r="D33" s="16" t="n">
        <x:v>46187.53265046296</x:v>
      </x:c>
      <x:c r="E33" s="10" t="str">
        <x:v>american_attire_formen</x:v>
      </x:c>
      <x:c r="F33" s="10" t="str">
        <x:v>Sidecar</x:v>
      </x:c>
      <x:c r="G33" s="19" t="str">
        <x:v>🖤 Power isn’t spoken. It’s worn. ⚜️ Step into a world where premium fashion meets timeless confidence. From everyday essentials to statement pieces, every collection is curated for those who lead, not follow. ✨ Imported Collection ✨ Premium Quality ✨ Luxury Fits ✨ Exclusive Styles 📍 American Apparel for Men Mota Varacha, Surat, Gujarat 🛍️ Visit our store &amp; upgrade your wardrobe with the latest premium arrivals. 📲 DM us for sizes, availability &amp; styling assistance. #AmericanApparel #AmericanApparelForMen #SuratFashion #MotaVaracha #LuxuryMenswear PremiumFashion ImportedCollection MensStyle StreetLuxury OldMoneyStyle FashionReels ExclusiveCollection LuxuryLifestyle StyleWithConfidence TrendingNow OOTDMen MensWearIndia ShopNow StayClassy WearTheDifferenc</x:v>
      </x:c>
      <x:c r="H33" s="19" t="str">
        <x:v>#AmericanApparel #AmericanApparelForMen #SuratFashion #MotaVaracha #LuxuryMenswear</x:v>
      </x:c>
      <x:c r="I33" s="19" t="str"/>
      <x:c r="J33" s="25" t="n">
        <x:v>0</x:v>
      </x:c>
      <x:c r="K33" s="25" t="n">
        <x:v>59</x:v>
      </x:c>
      <x:c r="L33" s="25" t="n">
        <x:v>0</x:v>
      </x:c>
      <x:c r="M33" s="25" t="n">
        <x:v>0</x:v>
      </x:c>
      <x:c r="N33" s="19" t="str">
        <x:v>https://www.instagram.com/p/DZkRt4oikm8/</x:v>
      </x:c>
      <x:c r="O33" s="19" t="str"/>
      <x:c r="P33" s="19" t="str">
        <x:v>Likely relevant</x:v>
      </x:c>
      <x:c r="Q33" s="19" t="str">
        <x:v>No</x:v>
      </x:c>
      <x:c r="R33" s="19" t="str">
        <x:v>Keep post; no comments</x:v>
      </x:c>
      <x:c r="S33" s="19" t="str">
        <x:v>No</x:v>
      </x:c>
      <x:c r="T33" s="22" t="str">
        <x:v>The post explicitly names/tags American Apparel or an identified AA product/style.</x:v>
      </x:c>
    </x:row>
    <x:row r="34">
      <x:c r="A34" s="9" t="str">
        <x:v>Instagram</x:v>
      </x:c>
      <x:c r="B34" s="10" t="str">
        <x:v>IG mention + IG hashtag</x:v>
      </x:c>
      <x:c r="C34" s="10" t="str">
        <x:v>3919401776092931963</x:v>
      </x:c>
      <x:c r="D34" s="16" t="n">
        <x:v>46187.62409722222</x:v>
      </x:c>
      <x:c r="E34" s="10" t="str">
        <x:v>peepshow.me</x:v>
      </x:c>
      <x:c r="F34" s="10" t="str">
        <x:v>Sidecar</x:v>
      </x:c>
      <x:c r="G34" s="19" t="str">
        <x:v>Mellow Yellow &amp; Ready ... 💛🇬🇷 #americanapparel #mirrormirror #aaselfie #ootn #peepshowme</x:v>
      </x:c>
      <x:c r="H34" s="19" t="str">
        <x:v>#americanapparel #mirrormirror #aaselfie #ootn #peepshowme</x:v>
      </x:c>
      <x:c r="I34" s="19" t="str">
        <x:v>@americanapparel</x:v>
      </x:c>
      <x:c r="J34" s="25" t="n">
        <x:v>0</x:v>
      </x:c>
      <x:c r="K34" s="25" t="n">
        <x:v>8</x:v>
      </x:c>
      <x:c r="L34" s="25" t="n">
        <x:v>0</x:v>
      </x:c>
      <x:c r="M34" s="25" t="n">
        <x:v>0</x:v>
      </x:c>
      <x:c r="N34" s="19" t="str">
        <x:v>https://www.instagram.com/p/DZkgyZEDed7/</x:v>
      </x:c>
      <x:c r="O34" s="19" t="str"/>
      <x:c r="P34" s="19" t="str">
        <x:v>Likely relevant</x:v>
      </x:c>
      <x:c r="Q34" s="19" t="str">
        <x:v>No</x:v>
      </x:c>
      <x:c r="R34" s="19" t="str">
        <x:v>Keep post; no comments</x:v>
      </x:c>
      <x:c r="S34" s="19" t="str">
        <x:v>No</x:v>
      </x:c>
      <x:c r="T34" s="22" t="str">
        <x:v>The post explicitly names/tags American Apparel or an identified AA product/style.</x:v>
      </x:c>
    </x:row>
    <x:row r="35">
      <x:c r="A35" s="9" t="str">
        <x:v>Instagram</x:v>
      </x:c>
      <x:c r="B35" s="10" t="str">
        <x:v>IG mention</x:v>
      </x:c>
      <x:c r="C35" s="10" t="str">
        <x:v>3919402294316638559</x:v>
      </x:c>
      <x:c r="D35" s="16" t="n">
        <x:v>46187.624814814815</x:v>
      </x:c>
      <x:c r="E35" s="10" t="str">
        <x:v>whereareyouservice</x:v>
      </x:c>
      <x:c r="F35" s="10" t="str">
        <x:v>Sidecar</x:v>
      </x:c>
      <x:c r="G35" s="19" t="str">
        <x:v>where are you #aa#americanapparel</x:v>
      </x:c>
      <x:c r="H35" s="19" t="str">
        <x:v>#aa #americanapparel</x:v>
      </x:c>
      <x:c r="I35" s="19" t="str">
        <x:v>@americanapparel</x:v>
      </x:c>
      <x:c r="J35" s="25" t="n">
        <x:v>0</x:v>
      </x:c>
      <x:c r="K35" s="25" t="n">
        <x:v>1</x:v>
      </x:c>
      <x:c r="L35" s="25" t="n">
        <x:v>0</x:v>
      </x:c>
      <x:c r="M35" s="25" t="n">
        <x:v>0</x:v>
      </x:c>
      <x:c r="N35" s="19" t="str">
        <x:v>https://www.instagram.com/p/DZkg57smCFf/</x:v>
      </x:c>
      <x:c r="O35" s="19" t="str"/>
      <x:c r="P35" s="19" t="str">
        <x:v>Likely relevant</x:v>
      </x:c>
      <x:c r="Q35" s="19" t="str">
        <x:v>No</x:v>
      </x:c>
      <x:c r="R35" s="19" t="str">
        <x:v>Keep post; no comments</x:v>
      </x:c>
      <x:c r="S35" s="19" t="str">
        <x:v>No</x:v>
      </x:c>
      <x:c r="T35" s="22" t="str">
        <x:v>The post explicitly names/tags American Apparel or an identified AA product/style.</x:v>
      </x:c>
    </x:row>
    <x:row r="36">
      <x:c r="A36" s="9" t="str">
        <x:v>Instagram</x:v>
      </x:c>
      <x:c r="B36" s="10" t="str">
        <x:v>IG hashtag</x:v>
      </x:c>
      <x:c r="C36" s="10" t="str">
        <x:v>3919679742517661414</x:v>
      </x:c>
      <x:c r="D36" s="16" t="n">
        <x:v>46188.007627314815</x:v>
      </x:c>
      <x:c r="E36" s="10" t="str">
        <x:v>merakiheadwear</x:v>
      </x:c>
      <x:c r="F36" s="10" t="str">
        <x:v>Sidecar</x:v>
      </x:c>
      <x:c r="G36" s="19" t="str">
        <x:v>》Nothing but 🇺🇲 Red White and Blue 🇺🇲 for this Seventy Six headwear @roadiebike.co • • • #MerakiHeadwear #premiumwear #customhats #america #americanapparel</x:v>
      </x:c>
      <x:c r="H36" s="19" t="str">
        <x:v>#MerakiHeadwear #premiumwear #customhats #america #americanapparel</x:v>
      </x:c>
      <x:c r="I36" s="19" t="str">
        <x:v>@roadiebike.co</x:v>
      </x:c>
      <x:c r="J36" s="25" t="n">
        <x:v>0</x:v>
      </x:c>
      <x:c r="K36" s="25" t="n">
        <x:v>7</x:v>
      </x:c>
      <x:c r="L36" s="25" t="n">
        <x:v>0</x:v>
      </x:c>
      <x:c r="M36" s="25" t="n">
        <x:v>0</x:v>
      </x:c>
      <x:c r="N36" s="19" t="str">
        <x:v>https://www.instagram.com/p/DZlf_VeD07m/</x:v>
      </x:c>
      <x:c r="O36" s="19" t="str"/>
      <x:c r="P36" s="19" t="str">
        <x:v>Likely relevant</x:v>
      </x:c>
      <x:c r="Q36" s="19" t="str">
        <x:v>No</x:v>
      </x:c>
      <x:c r="R36" s="19" t="str">
        <x:v>Keep post; no comments</x:v>
      </x:c>
      <x:c r="S36" s="19" t="str">
        <x:v>No</x:v>
      </x:c>
      <x:c r="T36" s="22" t="str">
        <x:v>The post explicitly names/tags American Apparel or an identified AA product/style.</x:v>
      </x:c>
    </x:row>
    <x:row r="37">
      <x:c r="A37" s="9" t="str">
        <x:v>Instagram</x:v>
      </x:c>
      <x:c r="B37" s="10" t="str">
        <x:v>IG hashtag</x:v>
      </x:c>
      <x:c r="C37" s="10" t="str">
        <x:v>3920490256198302347</x:v>
      </x:c>
      <x:c r="D37" s="16" t="n">
        <x:v>46189.125914351855</x:v>
      </x:c>
      <x:c r="E37" s="10" t="str">
        <x:v>dressupbox_</x:v>
      </x:c>
      <x:c r="F37" s="10" t="str">
        <x:v>Sidecar</x:v>
      </x:c>
      <x:c r="G37" s="19" t="str">
        <x:v>Https://DressUpBoxApparel.Etsy.Com #250yearsofamerica #americanapparel #usa🇺🇸 #4thjuly #july4th2026🇺🇸💥❤️🇺🇸💙</x:v>
      </x:c>
      <x:c r="H37" s="19" t="str">
        <x:v>#250yearsofamerica #americanapparel #usa🇺🇸 #4thjuly #july4th2026🇺🇸💥❤️🇺🇸💙</x:v>
      </x:c>
      <x:c r="I37" s="19" t="str"/>
      <x:c r="J37" s="25" t="n">
        <x:v>0</x:v>
      </x:c>
      <x:c r="K37" s="25" t="n">
        <x:v>2</x:v>
      </x:c>
      <x:c r="L37" s="25" t="n">
        <x:v>0</x:v>
      </x:c>
      <x:c r="M37" s="25" t="n">
        <x:v>0</x:v>
      </x:c>
      <x:c r="N37" s="19" t="str">
        <x:v>https://www.instagram.com/p/DZoYR3KFHqL/</x:v>
      </x:c>
      <x:c r="O37" s="19" t="str"/>
      <x:c r="P37" s="19" t="str">
        <x:v>Likely relevant</x:v>
      </x:c>
      <x:c r="Q37" s="19" t="str">
        <x:v>No</x:v>
      </x:c>
      <x:c r="R37" s="19" t="str">
        <x:v>Keep post; no comments</x:v>
      </x:c>
      <x:c r="S37" s="19" t="str">
        <x:v>No</x:v>
      </x:c>
      <x:c r="T37" s="22" t="str">
        <x:v>The post explicitly names/tags American Apparel or an identified AA product/style.</x:v>
      </x:c>
    </x:row>
    <x:row r="38">
      <x:c r="A38" s="9" t="str">
        <x:v>Instagram</x:v>
      </x:c>
      <x:c r="B38" s="10" t="str">
        <x:v>IG hashtag</x:v>
      </x:c>
      <x:c r="C38" s="10" t="str">
        <x:v>3920800917935021361</x:v>
      </x:c>
      <x:c r="D38" s="16" t="n">
        <x:v>46189.55454861111</x:v>
      </x:c>
      <x:c r="E38" s="10" t="str">
        <x:v>american_attire_formen</x:v>
      </x:c>
      <x:c r="F38" s="10" t="str">
        <x:v>Sidecar</x:v>
      </x:c>
      <x:c r="G38" s="19" t="str">
        <x:v>371”} ✨ Elevate Your Style. Define Your Presence. Luxury isn’t just what you wear—it’s how you carry yourself. Discover premium imported shirts, oversized tees, trousers, jeans, cargos &amp; exclusive fashion collections curated for modern gentlemen. 📍 American Apparel 🏬 Mota Varacha, Surat 🛍️ Premium Men’s Fashion 📦 Online Orders Available 🚚 Pan India Shipping 💯 100% Original &amp; Premium Quality Visit today and upgrade your wardrobe with timeless style. #AmericanApparel #MensFashion #LuxuryStyle #PremiumWear #StreetLuxury ImportedFashion SuratFashion MotaVaracha OutfitGoals FashionReels OOTD LuxuryMenswear CasualLuxury TrendingStyle FashionInspo StyleForMen PremiumCollection ShopNow OnlineOrder ViralF</x:v>
      </x:c>
      <x:c r="H38" s="19" t="str">
        <x:v>#AmericanApparel #MensFashion #LuxuryStyle #PremiumWear #StreetLuxury</x:v>
      </x:c>
      <x:c r="I38" s="19" t="str"/>
      <x:c r="J38" s="25" t="n">
        <x:v>0</x:v>
      </x:c>
      <x:c r="K38" s="25" t="n">
        <x:v>64</x:v>
      </x:c>
      <x:c r="L38" s="25" t="n">
        <x:v>0</x:v>
      </x:c>
      <x:c r="M38" s="25" t="n">
        <x:v>0</x:v>
      </x:c>
      <x:c r="N38" s="19" t="str">
        <x:v>https://www.instagram.com/p/DZpe6lcit0x/</x:v>
      </x:c>
      <x:c r="O38" s="19" t="str"/>
      <x:c r="P38" s="19" t="str">
        <x:v>Likely relevant</x:v>
      </x:c>
      <x:c r="Q38" s="19" t="str">
        <x:v>No</x:v>
      </x:c>
      <x:c r="R38" s="19" t="str">
        <x:v>Keep post; no comments</x:v>
      </x:c>
      <x:c r="S38" s="19" t="str">
        <x:v>No</x:v>
      </x:c>
      <x:c r="T38" s="22" t="str">
        <x:v>The post explicitly names/tags American Apparel or an identified AA product/style.</x:v>
      </x:c>
    </x:row>
    <x:row r="39">
      <x:c r="A39" s="9" t="str">
        <x:v>Instagram</x:v>
      </x:c>
      <x:c r="B39" s="10" t="str">
        <x:v>IG hashtag</x:v>
      </x:c>
      <x:c r="C39" s="10" t="str">
        <x:v>3922218027403880360</x:v>
      </x:c>
      <x:c r="D39" s="16" t="n">
        <x:v>46191.50981481482</x:v>
      </x:c>
      <x:c r="E39" s="10" t="str">
        <x:v>ezyt.thailand</x:v>
      </x:c>
      <x:c r="F39" s="10" t="str">
        <x:v>Image</x:v>
      </x:c>
      <x:c r="G39" s="19" t="str">
        <x:v>มีบางอย่างที่คนรักวินเทจรู้กันดี ว่าเสื้อวินเทจที่แท้จริงไม่มีทางทำได้ในวันแรก มันต้องใช้เวลา และไม่มีกระบวนการไหนในโลกทำแทนได้ แต่คำถามที่พวกเราในฐานะคนรักวินเทจถามตัวเองมาตลอดคือ แล้วเราจะเปิดทางให้มันเกิดขึ้นอีกได้ยังไง? . คำตอบไม่ใช่การเร่ง แต่คือการวางรากฐานให้ถูกต้องตั้งแต่ต้น ทุกการเคลื่อนไหว ทุกการซัก สามารถทิ้งร่องรอยลงบนผืนผ้าได้จริง มันจึงไม่ใช่เสื้อที่พยายามเป็นวินเทจตั้งแต่วันแรก แต่คือเสื้อที่เข้าใจว่าเสื้อวินเทจทุกตัวในโลก ล้วนเคยเป็นเสื้อใหม่มาก่อน . เหมือนสมุดบันทึกเล่มใหม่ที่ไม่ได้ซื้อมาเพราะมีเรื่องราวเขียนไว้อยู่แล้ว แต่ซื้อเพราะมันพร้อมจะรับเรื่องราว ทุกการสวมใส่ ทุกวันที่ผ่านไป คือการจารึกบางอย่างลงบนผืนผ้าโดยที่ไม่รู้ตัว . และนั่นคือ New Vintage ในแบบที่เราเชื่อ ไม่ใช่การย้อนกลับไปหาของเก่า แต่คือการเริ่มต้นบางอย่างในวันนี้ “ไทม์ สเตจ” คือเสื้อที่เราสร้างขึ้นจากความเชื่อนั้น ไม่ได้ถูกทำให้ดูเก่า แต่ถูกสร้างมาให้พร้อมรับทุกร่องรอยและเติบโตไปพร้อมกับคนที่ใส่มัน จนกลายเป็นของคนคนนั้นอย่างแท้จริง #AmericanApparel #vintagestyle #streetwearculture #ezytthailand</x:v>
      </x:c>
      <x:c r="H39" s="19" t="str">
        <x:v>#AmericanApparel #vintagestyle #streetwearculture #ezytthailand</x:v>
      </x:c>
      <x:c r="I39" s="19" t="str"/>
      <x:c r="J39" s="25" t="n">
        <x:v>0</x:v>
      </x:c>
      <x:c r="K39" s="25" t="n">
        <x:v>2</x:v>
      </x:c>
      <x:c r="L39" s="25" t="n">
        <x:v>0</x:v>
      </x:c>
      <x:c r="M39" s="25" t="n">
        <x:v>0</x:v>
      </x:c>
      <x:c r="N39" s="19" t="str">
        <x:v>https://www.instagram.com/p/DZuhIPfCqeo/</x:v>
      </x:c>
      <x:c r="O39" s="19" t="str"/>
      <x:c r="P39" s="19" t="str">
        <x:v>Likely relevant</x:v>
      </x:c>
      <x:c r="Q39" s="19" t="str">
        <x:v>No</x:v>
      </x:c>
      <x:c r="R39" s="19" t="str">
        <x:v>Keep post; no comments</x:v>
      </x:c>
      <x:c r="S39" s="19" t="str">
        <x:v>No</x:v>
      </x:c>
      <x:c r="T39" s="22" t="str">
        <x:v>The post explicitly names/tags American Apparel or an identified AA product/style.</x:v>
      </x:c>
    </x:row>
    <x:row r="40">
      <x:c r="A40" s="9" t="str">
        <x:v>Instagram</x:v>
      </x:c>
      <x:c r="B40" s="10" t="str">
        <x:v>IG hashtag</x:v>
      </x:c>
      <x:c r="C40" s="10" t="str">
        <x:v>3922275919184993682</x:v>
      </x:c>
      <x:c r="D40" s="16" t="n">
        <x:v>46191.58980324074</x:v>
      </x:c>
      <x:c r="E40" s="10" t="str">
        <x:v>rite.dealz</x:v>
      </x:c>
      <x:c r="F40" s="10" t="str">
        <x:v>Image</x:v>
      </x:c>
      <x:c r="G40" s="19" t="str">
        <x:v>All-American Vibes Plus V-Neck Tee Bold, Comfy &amp; Proudly Patriotic, the soft tee that turns porch hangs into a whole aesthetic, low-key iconic 🇺🇸✨ Click the link in our bio to shop now! 🛍️ #PatrioticFashion #AmericanApparel #VNeckTee #AllAmerican #PorchStyle #CasualWear #PatriotApparel</x:v>
      </x:c>
      <x:c r="H40" s="19" t="str">
        <x:v>#PatrioticFashion #AmericanApparel #VNeckTee #AllAmerican #PorchStyle #CasualWear #PatriotApparel</x:v>
      </x:c>
      <x:c r="I40" s="19" t="str"/>
      <x:c r="J40" s="25" t="n">
        <x:v>0</x:v>
      </x:c>
      <x:c r="K40" s="25" t="n">
        <x:v>1</x:v>
      </x:c>
      <x:c r="L40" s="25" t="n">
        <x:v>0</x:v>
      </x:c>
      <x:c r="M40" s="25" t="n">
        <x:v>0</x:v>
      </x:c>
      <x:c r="N40" s="19" t="str">
        <x:v>https://www.instagram.com/p/DZuuSraFx2S/</x:v>
      </x:c>
      <x:c r="O40" s="19" t="str"/>
      <x:c r="P40" s="19" t="str">
        <x:v>Likely relevant</x:v>
      </x:c>
      <x:c r="Q40" s="19" t="str">
        <x:v>No</x:v>
      </x:c>
      <x:c r="R40" s="19" t="str">
        <x:v>Keep post; no comments</x:v>
      </x:c>
      <x:c r="S40" s="19" t="str">
        <x:v>No</x:v>
      </x:c>
      <x:c r="T40" s="22" t="str">
        <x:v>The post explicitly names/tags American Apparel or an identified AA product/style.</x:v>
      </x:c>
    </x:row>
    <x:row r="41">
      <x:c r="A41" s="9" t="str">
        <x:v>Instagram</x:v>
      </x:c>
      <x:c r="B41" s="10" t="str">
        <x:v>IG mention</x:v>
      </x:c>
      <x:c r="C41" s="10" t="str">
        <x:v>3922739313221699528</x:v>
      </x:c>
      <x:c r="D41" s="16" t="n">
        <x:v>46192.22902777778</x:v>
      </x:c>
      <x:c r="E41" s="10" t="str">
        <x:v>honey_fits</x:v>
      </x:c>
      <x:c r="F41" s="10" t="str">
        <x:v>Sidecar</x:v>
      </x:c>
      <x:c r="G41" s="19" t="str">
        <x:v>@awesomeactioncat_ 15 de junio de 2026⊹₊⟡⋆ ⊹₊⟡⋆ ¿que es?⊹₊⟡⋆ Claudine bodysuit de @lecoledesfemmes ($149.00 USD) High wasted denim shorts de @americanapparel (no disponible) Ballerinas Camille de @repettoparis ($9,150.00 MXN) Funda para iPhone 16 plus de @wildflowercases ($37.00 USD) ⊹₊⟡⋆</x:v>
      </x:c>
      <x:c r="H41" s="19" t="str"/>
      <x:c r="I41" s="19" t="str">
        <x:v>@awesomeactioncat_ @lecoledesfemmes @americanapparel @repettoparis @wildflowercases</x:v>
      </x:c>
      <x:c r="J41" s="25" t="n">
        <x:v>0</x:v>
      </x:c>
      <x:c r="K41" s="25" t="n">
        <x:v>120</x:v>
      </x:c>
      <x:c r="L41" s="25" t="n">
        <x:v>0</x:v>
      </x:c>
      <x:c r="M41" s="25" t="n">
        <x:v>0</x:v>
      </x:c>
      <x:c r="N41" s="19" t="str">
        <x:v>https://www.instagram.com/p/DZwXp8vCgfI/</x:v>
      </x:c>
      <x:c r="O41" s="19" t="str"/>
      <x:c r="P41" s="19" t="str">
        <x:v>Likely relevant</x:v>
      </x:c>
      <x:c r="Q41" s="19" t="str">
        <x:v>No</x:v>
      </x:c>
      <x:c r="R41" s="19" t="str">
        <x:v>Keep post; no comments</x:v>
      </x:c>
      <x:c r="S41" s="19" t="str">
        <x:v>No</x:v>
      </x:c>
      <x:c r="T41" s="22" t="str">
        <x:v>The post explicitly names/tags American Apparel or an identified AA product/style.</x:v>
      </x:c>
    </x:row>
    <x:row r="42">
      <x:c r="A42" s="9" t="str">
        <x:v>Instagram</x:v>
      </x:c>
      <x:c r="B42" s="10" t="str">
        <x:v>IG hashtag</x:v>
      </x:c>
      <x:c r="C42" s="10" t="str">
        <x:v>3922994696331004757</x:v>
      </x:c>
      <x:c r="D42" s="16" t="n">
        <x:v>46192.58138888889</x:v>
      </x:c>
      <x:c r="E42" s="10" t="str">
        <x:v>starinternational13</x:v>
      </x:c>
      <x:c r="F42" s="10" t="str">
        <x:v>Image</x:v>
      </x:c>
      <x:c r="G42" s="19" t="str">
        <x:v>🔥 Friday Special Offer! 🔥 Get 1 Custom Hoodie for only $20 with worldwide shipping available. ✅ 100% Guaranteed Premium Quality ✅ High-Quality Fabric &amp; Premium Finishing ✅ Custom Design Options Available ✅ Reliable Service &amp; Customer Support ✅ Worldwide Delivery 📦 Minimum Order Quantity: 30 Pieces Take advantage of this special Friday Offer and get premium-quality custom hoodies at an unbeatable price. Contact us today for more details and to place your order! 👕 Custom Hoodies | Premium Quality | Fast Worldwide Shipping 🚀 #UKApparel #UKFashion #UKManufacturer #UKClothingBrand #LondonFashion #BritishApparel #USAApparel #USAManufacturer #USFashion #AmericanApparel #CustomHoodiesUSA #CustomHoodiesUK #HoodieManufacturer #PrivateLabelManufacturer #ClothingManufacturer #WholesaleApparel #BulkHoodies #CustomClothing #PremiumQuality #WorldwideShipping</x:v>
      </x:c>
      <x:c r="H42" s="19" t="str">
        <x:v>#UKApparel #UKFashion #UKManufacturer #UKClothingBrand #LondonFashion #BritishApparel #USAApparel #USAManufacturer #USFashion #AmericanApparel #CustomHoodiesUSA #CustomHoodiesUK #HoodieManufacturer #PrivateLabelManufacturer #ClothingManufacturer #WholesaleApparel #BulkHoodies #CustomClothing #PremiumQuality #WorldwideShipping</x:v>
      </x:c>
      <x:c r="I42" s="19" t="str"/>
      <x:c r="J42" s="25" t="n">
        <x:v>0</x:v>
      </x:c>
      <x:c r="K42" s="25" t="n">
        <x:v>2</x:v>
      </x:c>
      <x:c r="L42" s="25" t="n">
        <x:v>0</x:v>
      </x:c>
      <x:c r="M42" s="25" t="n">
        <x:v>0</x:v>
      </x:c>
      <x:c r="N42" s="19" t="str">
        <x:v>https://www.instagram.com/p/DZxRuQyjQtV/</x:v>
      </x:c>
      <x:c r="O42" s="19" t="str">
        <x:v>Hoodie</x:v>
      </x:c>
      <x:c r="P42" s="19" t="str">
        <x:v>Likely relevant</x:v>
      </x:c>
      <x:c r="Q42" s="19" t="str">
        <x:v>No</x:v>
      </x:c>
      <x:c r="R42" s="19" t="str">
        <x:v>Keep post; no comments</x:v>
      </x:c>
      <x:c r="S42" s="19" t="str">
        <x:v>No</x:v>
      </x:c>
      <x:c r="T42" s="22" t="str">
        <x:v>The post explicitly names/tags American Apparel or an identified AA product/style.</x:v>
      </x:c>
    </x:row>
    <x:row r="43">
      <x:c r="A43" s="9" t="str">
        <x:v>Instagram</x:v>
      </x:c>
      <x:c r="B43" s="10" t="str">
        <x:v>IG hashtag</x:v>
      </x:c>
      <x:c r="C43" s="10" t="str">
        <x:v>3923071935144069488</x:v>
      </x:c>
      <x:c r="D43" s="16" t="n">
        <x:v>46192.687951388885</x:v>
      </x:c>
      <x:c r="E43" s="10" t="str">
        <x:v>jellycloset_</x:v>
      </x:c>
      <x:c r="F43" s="10" t="str">
        <x:v>Sidecar</x:v>
      </x:c>
      <x:c r="G43" s="19" t="str">
        <x:v>EGO Corset - Higuey / Punta Cana 📍Disponible #ropa #boutique #americanapparel #republicadominica</x:v>
      </x:c>
      <x:c r="H43" s="19" t="str">
        <x:v>#ropa #boutique #americanapparel #republicadominica</x:v>
      </x:c>
      <x:c r="I43" s="19" t="str"/>
      <x:c r="J43" s="25" t="n">
        <x:v>0</x:v>
      </x:c>
      <x:c r="K43" s="25" t="n">
        <x:v>2</x:v>
      </x:c>
      <x:c r="L43" s="25" t="n">
        <x:v>0</x:v>
      </x:c>
      <x:c r="M43" s="25" t="n">
        <x:v>0</x:v>
      </x:c>
      <x:c r="N43" s="19" t="str">
        <x:v>https://www.instagram.com/p/DZxjSPCkQlw/</x:v>
      </x:c>
      <x:c r="O43" s="19" t="str"/>
      <x:c r="P43" s="19" t="str">
        <x:v>Likely relevant</x:v>
      </x:c>
      <x:c r="Q43" s="19" t="str">
        <x:v>No</x:v>
      </x:c>
      <x:c r="R43" s="19" t="str">
        <x:v>Keep post; no comments</x:v>
      </x:c>
      <x:c r="S43" s="19" t="str">
        <x:v>No</x:v>
      </x:c>
      <x:c r="T43" s="22" t="str">
        <x:v>The post explicitly names/tags American Apparel or an identified AA product/style.</x:v>
      </x:c>
    </x:row>
    <x:row r="44">
      <x:c r="A44" s="9" t="str">
        <x:v>Instagram</x:v>
      </x:c>
      <x:c r="B44" s="10" t="str">
        <x:v>IG hashtag</x:v>
      </x:c>
      <x:c r="C44" s="10" t="str">
        <x:v>3923449140293491296</x:v>
      </x:c>
      <x:c r="D44" s="16" t="n">
        <x:v>46193.20841435185</x:v>
      </x:c>
      <x:c r="E44" s="10" t="str">
        <x:v>gildan_bangkokthailand</x:v>
      </x:c>
      <x:c r="F44" s="10" t="str">
        <x:v>Image</x:v>
      </x:c>
      <x:c r="G44" s="19" t="str">
        <x:v>3 อันดับขายดี 🏆 ไม่รู้จะเลือกอะไร? ให้ยอดขายเป็นคนตอบ 🥇 Gildan 90s Casual Tee — ทรงครอป สไตล์ 90s 🥈 United Athle 5001 — Japanese Classic ผ้านุ่มทรงดี 🥉 American Apparel — Oversize Street เท่ แมตช์ง่าย แบรนด์แท้ 100% 🛡️ ทักได้เลยนะ โทร: 0853649795 / 0826953626 Line: @gildanbkk (มีไลน์ @ นำหน้าด้วยนะคะ) อีเมล: gildanofficial789@gmail.com #BestSeller #เสื้อยืดขายดี #GildanThailand #UnitedAthle5001 #AmericanApparel #เสื้อยืด #gildanbkk #แบรนด์แท้ #เสื้อยืดoversize #ของดีบอกต่อ</x:v>
      </x:c>
      <x:c r="H44" s="19" t="str">
        <x:v>#BestSeller #เสื้อยืดขายดี #GildanThailand #UnitedAthle5001 #AmericanApparel #เสื้อยืด #gildanbkk #แบรนด์แท้ #เสื้อยืดoversize #ของดีบอกต่อ</x:v>
      </x:c>
      <x:c r="I44" s="19" t="str">
        <x:v>@gildanbkk</x:v>
      </x:c>
      <x:c r="J44" s="25" t="n">
        <x:v>0</x:v>
      </x:c>
      <x:c r="K44" s="25" t="n">
        <x:v>0</x:v>
      </x:c>
      <x:c r="L44" s="25" t="n">
        <x:v>0</x:v>
      </x:c>
      <x:c r="M44" s="25" t="n">
        <x:v>0</x:v>
      </x:c>
      <x:c r="N44" s="19" t="str">
        <x:v>https://www.instagram.com/p/DZy5DStgVpg/</x:v>
      </x:c>
      <x:c r="O44" s="19" t="str"/>
      <x:c r="P44" s="19" t="str">
        <x:v>Likely relevant</x:v>
      </x:c>
      <x:c r="Q44" s="19" t="str">
        <x:v>No</x:v>
      </x:c>
      <x:c r="R44" s="19" t="str">
        <x:v>Keep post; no comments</x:v>
      </x:c>
      <x:c r="S44" s="19" t="str">
        <x:v>No</x:v>
      </x:c>
      <x:c r="T44" s="22" t="str">
        <x:v>The post explicitly names/tags American Apparel or an identified AA product/style.</x:v>
      </x:c>
    </x:row>
    <x:row r="45">
      <x:c r="A45" s="9" t="str">
        <x:v>TikTok</x:v>
      </x:c>
      <x:c r="B45" s="10" t="str">
        <x:v>TikTok hashtag — validation</x:v>
      </x:c>
      <x:c r="C45" s="10" t="str">
        <x:v>7653524046814006550</x:v>
      </x:c>
      <x:c r="D45" s="16" t="n">
        <x:v>46193.70991898148</x:v>
      </x:c>
      <x:c r="E45" s="10" t="str">
        <x:v>moodboardpins3</x:v>
      </x:c>
      <x:c r="F45" s="10" t="str">
        <x:v>Video</x:v>
      </x:c>
      <x:c r="G45" s="19" t="str">
        <x:v>American apparel Little controversial 👀 But....it was pretty cool how the brand weren't afraid to be unapologetically 'normal' &amp; 'sensual'- not conforming to the beauty standards of the time. #americanapparel #2010snostalgia #moodboardaesthetic #fashionstore #fashionbrand</x:v>
      </x:c>
      <x:c r="H45" s="19" t="str">
        <x:v>#americanapparel #2010snostalgia #moodboardaesthetic #fashionstore #fashionbrand</x:v>
      </x:c>
      <x:c r="I45" s="19" t="str"/>
      <x:c r="J45" s="25" t="n">
        <x:v>0</x:v>
      </x:c>
      <x:c r="K45" s="25" t="n">
        <x:v>91</x:v>
      </x:c>
      <x:c r="L45" s="25" t="n">
        <x:v>1646</x:v>
      </x:c>
      <x:c r="M45" s="25" t="n">
        <x:v>13</x:v>
      </x:c>
      <x:c r="N45" s="19" t="str">
        <x:v>https://www.tiktok.com/@moodboardpins3/video/7653524046814006550</x:v>
      </x:c>
      <x:c r="O45" s="19" t="str"/>
      <x:c r="P45" s="19" t="str">
        <x:v>Likely relevant</x:v>
      </x:c>
      <x:c r="Q45" s="19" t="str">
        <x:v>Review — nostalgia/awareness adjacent</x:v>
      </x:c>
      <x:c r="R45" s="19" t="str">
        <x:v>Keep post; no comments</x:v>
      </x:c>
      <x:c r="S45" s="19" t="str">
        <x:v>Yes</x:v>
      </x:c>
      <x:c r="T45" s="22" t="str">
        <x:v>The post explicitly names/tags American Apparel or an identified AA product/style.</x:v>
      </x:c>
    </x:row>
    <x:row r="46">
      <x:c r="A46" s="9" t="str">
        <x:v>Instagram</x:v>
      </x:c>
      <x:c r="B46" s="10" t="str">
        <x:v>IG hashtag</x:v>
      </x:c>
      <x:c r="C46" s="10" t="str">
        <x:v>3925058644697835257</x:v>
      </x:c>
      <x:c r="D46" s="16" t="n">
        <x:v>46195.431909722225</x:v>
      </x:c>
      <x:c r="E46" s="10" t="str">
        <x:v>neoguri_vtg</x:v>
      </x:c>
      <x:c r="F46" s="10" t="str">
        <x:v>Image</x:v>
      </x:c>
      <x:c r="G46" s="19" t="str">
        <x:v>americanapparel 코튼 백팩 ❌sold out❌ 단종된 AA 백팩 바디는 블랙 , 포인트는 크림색의 코튼소재로 관리가 편하고 세탁시 물 빠짐 페이딩으로 자신만의 백팩을 만들어가는 재미가 있어요 😀 Made in USA #americanapparel</x:v>
      </x:c>
      <x:c r="H46" s="19" t="str">
        <x:v>#americanapparel</x:v>
      </x:c>
      <x:c r="I46" s="19" t="str"/>
      <x:c r="J46" s="25" t="n">
        <x:v>0</x:v>
      </x:c>
      <x:c r="K46" s="25" t="n">
        <x:v>1</x:v>
      </x:c>
      <x:c r="L46" s="25" t="n">
        <x:v>0</x:v>
      </x:c>
      <x:c r="M46" s="25" t="n">
        <x:v>0</x:v>
      </x:c>
      <x:c r="N46" s="19" t="str">
        <x:v>https://www.instagram.com/p/DZ4nAqfymb5/</x:v>
      </x:c>
      <x:c r="O46" s="19" t="str"/>
      <x:c r="P46" s="19" t="str">
        <x:v>Likely relevant</x:v>
      </x:c>
      <x:c r="Q46" s="19" t="str">
        <x:v>No</x:v>
      </x:c>
      <x:c r="R46" s="19" t="str">
        <x:v>Keep post; no comments</x:v>
      </x:c>
      <x:c r="S46" s="19" t="str">
        <x:v>No</x:v>
      </x:c>
      <x:c r="T46" s="22" t="str">
        <x:v>The post explicitly names/tags American Apparel or an identified AA product/style.</x:v>
      </x:c>
    </x:row>
    <x:row r="47">
      <x:c r="A47" s="9" t="str">
        <x:v>Instagram</x:v>
      </x:c>
      <x:c r="B47" s="10" t="str">
        <x:v>IG hashtag</x:v>
      </x:c>
      <x:c r="C47" s="10" t="str">
        <x:v>3925073988976654301</x:v>
      </x:c>
      <x:c r="D47" s="16" t="n">
        <x:v>46195.450266203705</x:v>
      </x:c>
      <x:c r="E47" s="10" t="str">
        <x:v>pickbyjami</x:v>
      </x:c>
      <x:c r="F47" s="10" t="str">
        <x:v>Sidecar</x:v>
      </x:c>
      <x:c r="G47" s="19" t="str">
        <x:v>GRAPHIC TEE Size L Chest / Ngang ngực: 54cm Length / Dài áo: 74cm Condition / Tình trạng: 9/10 American Apparel Heavyweight Cotton Price / Giá: 220.000đ #graphictee #americanapparel #secondhandclothing #thriftedfashion #streetwear</x:v>
      </x:c>
      <x:c r="H47" s="19" t="str">
        <x:v>#graphictee #americanapparel #secondhandclothing #thriftedfashion #streetwear</x:v>
      </x:c>
      <x:c r="I47" s="19" t="str"/>
      <x:c r="J47" s="25" t="n">
        <x:v>0</x:v>
      </x:c>
      <x:c r="K47" s="25" t="n">
        <x:v>-1</x:v>
      </x:c>
      <x:c r="L47" s="25" t="n">
        <x:v>0</x:v>
      </x:c>
      <x:c r="M47" s="25" t="n">
        <x:v>0</x:v>
      </x:c>
      <x:c r="N47" s="19" t="str">
        <x:v>https://www.instagram.com/p/DZ4qf8-FDfd/</x:v>
      </x:c>
      <x:c r="O47" s="19" t="str"/>
      <x:c r="P47" s="19" t="str">
        <x:v>Likely relevant</x:v>
      </x:c>
      <x:c r="Q47" s="19" t="str">
        <x:v>No</x:v>
      </x:c>
      <x:c r="R47" s="19" t="str">
        <x:v>Keep post; no comments</x:v>
      </x:c>
      <x:c r="S47" s="19" t="str">
        <x:v>No</x:v>
      </x:c>
      <x:c r="T47" s="22" t="str">
        <x:v>The post explicitly names/tags American Apparel or an identified AA product/style.</x:v>
      </x:c>
    </x:row>
    <x:row r="48">
      <x:c r="A48" s="9" t="str">
        <x:v>Instagram</x:v>
      </x:c>
      <x:c r="B48" s="10" t="str">
        <x:v>IG hashtag</x:v>
      </x:c>
      <x:c r="C48" s="10" t="str">
        <x:v>3925079989221791661</x:v>
      </x:c>
      <x:c r="D48" s="16" t="n">
        <x:v>46195.458553240744</x:v>
      </x:c>
      <x:c r="E48" s="10" t="str">
        <x:v>gildan_bangkokthailand</x:v>
      </x:c>
      <x:c r="F48" s="10" t="str">
        <x:v>Image</x:v>
      </x:c>
      <x:c r="G48" s="19" t="str">
        <x:v>☀️ เสื้อยืดที่ใส่แล้ว "ใช่" ตั้งแต่คำแรกที่สัมผัส American Apparel 1301 California Classic ไม่ใช่แค่เสื้อยืดธรรมดา แต่คือสัญลักษณ์ของความคลาสสิกสไตล์อเมริกันแท้ ๆ ที่อยู่คู่วงการแฟชั่นมานาน ✅ เนื้อผ้าคอตตอน 100% นุ่ม สวมใส่สบาย ระบายอากาศดี ✅ ทรงสวย ใส่ได้ทุกเพศทุกวัย ทั้งผู้ชายและผู้หญิง ✅ สีพื้นเบสิก เข้ากับทุกสไตล์การแต่งตัว ✅ คุณภาพมาตรฐานสากล ทนทาน ซักแล้วไม่เสียทรง ไม่ว่าจะใส่ไปทำงาน เที่ยว หรือถ่ายรูปชิค ๆ ริมถนน เสื้อตัวนี้ตอบโจทย์ทุกไลฟ์สไตล์ของคนเมือง 🏙️☕ เหมาะมากสำหรับทำแบรนด์เสื้อ สกรีนโลโก้ หรือสั่งทำยูนิฟอร์มที่ต้องการความพรีเมียมในราคาที่คุ้มค่า 📩 สนใจสอบถามหรือสั่งซื้อ แอดไลน์ @gildanbkk 🛒 Shopee &gt; https://s.shopee.co.th/60P8ev3SAl #AmericanApparel #CaliforniaClassic #เสื้อยืดพรีเมียม #เสื้อยืดเปล่า #รับสกรีนเสื้อ</x:v>
      </x:c>
      <x:c r="H48" s="19" t="str">
        <x:v>#AmericanApparel #CaliforniaClassic #เสื้อยืดพรีเมียม #เสื้อยืดเปล่า #รับสกรีนเสื้อ</x:v>
      </x:c>
      <x:c r="I48" s="19" t="str">
        <x:v>@gildanbkk</x:v>
      </x:c>
      <x:c r="J48" s="25" t="n">
        <x:v>0</x:v>
      </x:c>
      <x:c r="K48" s="25" t="n">
        <x:v>0</x:v>
      </x:c>
      <x:c r="L48" s="25" t="n">
        <x:v>0</x:v>
      </x:c>
      <x:c r="M48" s="25" t="n">
        <x:v>0</x:v>
      </x:c>
      <x:c r="N48" s="19" t="str">
        <x:v>https://www.instagram.com/p/DZ4r3RIjxet/</x:v>
      </x:c>
      <x:c r="O48" s="19" t="str">
        <x:v>1301, California Classic</x:v>
      </x:c>
      <x:c r="P48" s="19" t="str">
        <x:v>Likely relevant</x:v>
      </x:c>
      <x:c r="Q48" s="19" t="str">
        <x:v>No</x:v>
      </x:c>
      <x:c r="R48" s="19" t="str">
        <x:v>Keep post; no comments</x:v>
      </x:c>
      <x:c r="S48" s="19" t="str">
        <x:v>No</x:v>
      </x:c>
      <x:c r="T48" s="22" t="str">
        <x:v>The post explicitly names/tags American Apparel or an identified AA product/style.</x:v>
      </x:c>
    </x:row>
    <x:row r="49">
      <x:c r="A49" s="9" t="str">
        <x:v>Instagram</x:v>
      </x:c>
      <x:c r="B49" s="10" t="str">
        <x:v>IG hashtag</x:v>
      </x:c>
      <x:c r="C49" s="10" t="str">
        <x:v>3925132938484774352</x:v>
      </x:c>
      <x:c r="D49" s="16" t="n">
        <x:v>46195.53273148148</x:v>
      </x:c>
      <x:c r="E49" s="10" t="str">
        <x:v>kdj55070</x:v>
      </x:c>
      <x:c r="F49" s="10" t="str">
        <x:v>Image</x:v>
      </x:c>
      <x:c r="G49" s="19" t="str">
        <x:v>Celebrate freedom in style! 🇺🇸✨ Score 20% off our exclusive America 250 collection! Offer ends July 4th! 🎆 Shop now! #Celebrate250 #Celebrate250Years #AmericanApparel #FourthOfJuly #SummerSale</x:v>
      </x:c>
      <x:c r="H49" s="19" t="str">
        <x:v>#Celebrate250 #Celebrate250Years #AmericanApparel #FourthOfJuly #SummerSale</x:v>
      </x:c>
      <x:c r="I49" s="19" t="str"/>
      <x:c r="J49" s="25" t="n">
        <x:v>0</x:v>
      </x:c>
      <x:c r="K49" s="25" t="n">
        <x:v>0</x:v>
      </x:c>
      <x:c r="L49" s="25" t="n">
        <x:v>0</x:v>
      </x:c>
      <x:c r="M49" s="25" t="n">
        <x:v>0</x:v>
      </x:c>
      <x:c r="N49" s="19" t="str">
        <x:v>https://www.instagram.com/p/DZ435x-kfXQ/</x:v>
      </x:c>
      <x:c r="O49" s="19" t="str"/>
      <x:c r="P49" s="19" t="str">
        <x:v>Likely relevant</x:v>
      </x:c>
      <x:c r="Q49" s="19" t="str">
        <x:v>No</x:v>
      </x:c>
      <x:c r="R49" s="19" t="str">
        <x:v>Keep post; no comments</x:v>
      </x:c>
      <x:c r="S49" s="19" t="str">
        <x:v>No</x:v>
      </x:c>
      <x:c r="T49" s="22" t="str">
        <x:v>The post explicitly names/tags American Apparel or an identified AA product/style.</x:v>
      </x:c>
    </x:row>
    <x:row r="50">
      <x:c r="A50" s="9" t="str">
        <x:v>Instagram</x:v>
      </x:c>
      <x:c r="B50" s="10" t="str">
        <x:v>IG hashtag</x:v>
      </x:c>
      <x:c r="C50" s="10" t="str">
        <x:v>3925188913945156430</x:v>
      </x:c>
      <x:c r="D50" s="16" t="n">
        <x:v>46195.608831018515</x:v>
      </x:c>
      <x:c r="E50" s="10" t="str">
        <x:v>deenalinart</x:v>
      </x:c>
      <x:c r="F50" s="10" t="str">
        <x:v>Sidecar</x:v>
      </x:c>
      <x:c r="G50" s="19" t="str">
        <x:v>Today ONLY!!! Shop my LIMITED EDITION America 250 Eagle Art T-shirt, collaboration with @varevolution250 Shop www.deenalinart.com ➡️ apparel. Linked in bio Special thanks to @nationalparkservice for the Jefferson quote inspiration. Hand painted and designed by @deenalinart. Made in USA. Shop small. Support local. #americanapparel #madeinusa #america250</x:v>
      </x:c>
      <x:c r="H50" s="19" t="str">
        <x:v>#americanapparel #madeinusa #america250</x:v>
      </x:c>
      <x:c r="I50" s="19" t="str">
        <x:v>@varevolution250 @nationalparkservice @deenalinart @freedom250 @visitvirginia @karianna_bond</x:v>
      </x:c>
      <x:c r="J50" s="25" t="n">
        <x:v>0</x:v>
      </x:c>
      <x:c r="K50" s="25" t="n">
        <x:v>23</x:v>
      </x:c>
      <x:c r="L50" s="25" t="n">
        <x:v>0</x:v>
      </x:c>
      <x:c r="M50" s="25" t="n">
        <x:v>0</x:v>
      </x:c>
      <x:c r="N50" s="19" t="str">
        <x:v>https://www.instagram.com/p/DZ5EoVMAJtO/</x:v>
      </x:c>
      <x:c r="O50" s="19" t="str"/>
      <x:c r="P50" s="19" t="str">
        <x:v>Likely relevant</x:v>
      </x:c>
      <x:c r="Q50" s="19" t="str">
        <x:v>No</x:v>
      </x:c>
      <x:c r="R50" s="19" t="str">
        <x:v>Keep post; no comments</x:v>
      </x:c>
      <x:c r="S50" s="19" t="str">
        <x:v>No</x:v>
      </x:c>
      <x:c r="T50" s="22" t="str">
        <x:v>The post explicitly names/tags American Apparel or an identified AA product/style.</x:v>
      </x:c>
    </x:row>
    <x:row r="51">
      <x:c r="A51" s="9" t="str">
        <x:v>Instagram</x:v>
      </x:c>
      <x:c r="B51" s="10" t="str">
        <x:v>IG hashtag</x:v>
      </x:c>
      <x:c r="C51" s="10" t="str">
        <x:v>3925224403629535691</x:v>
      </x:c>
      <x:c r="D51" s="16" t="n">
        <x:v>46195.657800925925</x:v>
      </x:c>
      <x:c r="E51" s="10" t="str">
        <x:v>ptspromotions</x:v>
      </x:c>
      <x:c r="F51" s="10" t="str">
        <x:v>Sidecar</x:v>
      </x:c>
      <x:c r="G51" s="19" t="str">
        <x:v>As America starts gearing up for the big celebration, we continue cranking out a batch of patriotic tees for some of our customers. Here are a few for you all to check out. Feel free to give us a call for your apparel needs. 770-449-7317. Or, email us at sales@ptspromotions.com #screenprinting #ptspromotions #tshirt #promo #screenprint #georgia #summer2026 #apparel #america250 #patriotic #americanapparel</x:v>
      </x:c>
      <x:c r="H51" s="19" t="str">
        <x:v>#screenprinting #ptspromotions #tshirt #promo #screenprint #georgia #summer2026 #apparel #america250 #patriotic #americanapparel</x:v>
      </x:c>
      <x:c r="I51" s="19" t="str"/>
      <x:c r="J51" s="25" t="n">
        <x:v>0</x:v>
      </x:c>
      <x:c r="K51" s="25" t="n">
        <x:v>0</x:v>
      </x:c>
      <x:c r="L51" s="25" t="n">
        <x:v>0</x:v>
      </x:c>
      <x:c r="M51" s="25" t="n">
        <x:v>0</x:v>
      </x:c>
      <x:c r="N51" s="19" t="str">
        <x:v>https://www.instagram.com/p/DZ5MsxiCHHL/</x:v>
      </x:c>
      <x:c r="O51" s="19" t="str"/>
      <x:c r="P51" s="19" t="str">
        <x:v>Likely relevant</x:v>
      </x:c>
      <x:c r="Q51" s="19" t="str">
        <x:v>No</x:v>
      </x:c>
      <x:c r="R51" s="19" t="str">
        <x:v>Keep post; no comments</x:v>
      </x:c>
      <x:c r="S51" s="19" t="str">
        <x:v>No</x:v>
      </x:c>
      <x:c r="T51" s="22" t="str">
        <x:v>The post explicitly names/tags American Apparel or an identified AA product/style.</x:v>
      </x:c>
    </x:row>
    <x:row r="52">
      <x:c r="A52" s="9" t="str">
        <x:v>Instagram</x:v>
      </x:c>
      <x:c r="B52" s="10" t="str">
        <x:v>IG hashtag</x:v>
      </x:c>
      <x:c r="C52" s="10" t="str">
        <x:v>3925197047086959339</x:v>
      </x:c>
      <x:c r="D52" s="16" t="n">
        <x:v>46195.665300925924</x:v>
      </x:c>
      <x:c r="E52" s="10" t="str">
        <x:v>uptownathens</x:v>
      </x:c>
      <x:c r="F52" s="10" t="str">
        <x:v>Image</x:v>
      </x:c>
      <x:c r="G52" s="19" t="str">
        <x:v>Come shop our 4th of July display for all of your red, white, and blue essentials! !🇺🇸👖❤️ #americanapparel #4thjuly #fourthofjulyoutfit #americana #redwhiteandcute❤️🇺🇸💙</x:v>
      </x:c>
      <x:c r="H52" s="19" t="str">
        <x:v>#americanapparel #4thjuly #fourthofjulyoutfit #americana #redwhiteandcute❤️🇺🇸💙</x:v>
      </x:c>
      <x:c r="I52" s="19" t="str"/>
      <x:c r="J52" s="25" t="n">
        <x:v>0</x:v>
      </x:c>
      <x:c r="K52" s="25" t="n">
        <x:v>18</x:v>
      </x:c>
      <x:c r="L52" s="25" t="n">
        <x:v>0</x:v>
      </x:c>
      <x:c r="M52" s="25" t="n">
        <x:v>0</x:v>
      </x:c>
      <x:c r="N52" s="19" t="str">
        <x:v>https://www.instagram.com/p/DZ5GerxB8rr/</x:v>
      </x:c>
      <x:c r="O52" s="19" t="str"/>
      <x:c r="P52" s="19" t="str">
        <x:v>Likely relevant</x:v>
      </x:c>
      <x:c r="Q52" s="19" t="str">
        <x:v>No</x:v>
      </x:c>
      <x:c r="R52" s="19" t="str">
        <x:v>Keep post; no comments</x:v>
      </x:c>
      <x:c r="S52" s="19" t="str">
        <x:v>No</x:v>
      </x:c>
      <x:c r="T52" s="22" t="str">
        <x:v>The post explicitly names/tags American Apparel or an identified AA product/style.</x:v>
      </x:c>
    </x:row>
    <x:row r="53">
      <x:c r="A53" s="9" t="str">
        <x:v>Instagram</x:v>
      </x:c>
      <x:c r="B53" s="10" t="str">
        <x:v>IG hashtag</x:v>
      </x:c>
      <x:c r="C53" s="10" t="str">
        <x:v>3926570397056061319</x:v>
      </x:c>
      <x:c r="D53" s="16" t="n">
        <x:v>46197.515497685185</x:v>
      </x:c>
      <x:c r="E53" s="10" t="str">
        <x:v>mopes_merch</x:v>
      </x:c>
      <x:c r="F53" s="10" t="str">
        <x:v>Image</x:v>
      </x:c>
      <x:c r="G53" s="19" t="str">
        <x:v>Feel the pride in the Metal Up Classic Unisex Pullover Hoodie | The Patriotic Peace Hoodie - $35, soft, bold, and made to turn heads!!! 🇺🇸🔥 Slip into one and be part of the vibe!!! 🤘🧥 Click the link in our bio to shop now! 🛍️ #PatrioticFashion #MetalUpHoodie #UnisexHoodie #PatrioticClothes #AmericanApparel #PeaceHoodie #BoldStyle</x:v>
      </x:c>
      <x:c r="H53" s="19" t="str">
        <x:v>#PatrioticFashion #MetalUpHoodie #UnisexHoodie #PatrioticClothes #AmericanApparel #PeaceHoodie #BoldStyle</x:v>
      </x:c>
      <x:c r="I53" s="19" t="str"/>
      <x:c r="J53" s="25" t="n">
        <x:v>0</x:v>
      </x:c>
      <x:c r="K53" s="25" t="n">
        <x:v>0</x:v>
      </x:c>
      <x:c r="L53" s="25" t="n">
        <x:v>0</x:v>
      </x:c>
      <x:c r="M53" s="25" t="n">
        <x:v>0</x:v>
      </x:c>
      <x:c r="N53" s="19" t="str">
        <x:v>https://www.instagram.com/p/DZ9-vjmF0-H/</x:v>
      </x:c>
      <x:c r="O53" s="19" t="str">
        <x:v>Hoodie</x:v>
      </x:c>
      <x:c r="P53" s="19" t="str">
        <x:v>Likely relevant</x:v>
      </x:c>
      <x:c r="Q53" s="19" t="str">
        <x:v>No</x:v>
      </x:c>
      <x:c r="R53" s="19" t="str">
        <x:v>Keep post; no comments</x:v>
      </x:c>
      <x:c r="S53" s="19" t="str">
        <x:v>No</x:v>
      </x:c>
      <x:c r="T53" s="22" t="str">
        <x:v>The post explicitly names/tags American Apparel or an identified AA product/style.</x:v>
      </x:c>
    </x:row>
    <x:row r="54">
      <x:c r="A54" s="9" t="str">
        <x:v>Instagram</x:v>
      </x:c>
      <x:c r="B54" s="10" t="str">
        <x:v>IG hashtag</x:v>
      </x:c>
      <x:c r="C54" s="10" t="str">
        <x:v>3926570442606224560</x:v>
      </x:c>
      <x:c r="D54" s="16" t="n">
        <x:v>46197.515497685185</x:v>
      </x:c>
      <x:c r="E54" s="10" t="str">
        <x:v>mopes_merch</x:v>
      </x:c>
      <x:c r="F54" s="10" t="str">
        <x:v>Image</x:v>
      </x:c>
      <x:c r="G54" s="19" t="str">
        <x:v>Feel the pride in the Metal Up Classic Unisex Pullover Hoodie | The Patriotic Peace Hoodie - $35, soft, bold, and made to turn heads!!! 🇺🇸🔥 Slip into one and be part of the vibe!!! 🤘🧥 Click the link in our bio to shop now! 🛍️ #PatrioticFashion #MetalUpHoodie #UnisexHoodie #PatrioticClothes #AmericanApparel #PeaceHoodie #BoldStyle</x:v>
      </x:c>
      <x:c r="H54" s="19" t="str">
        <x:v>#PatrioticFashion #MetalUpHoodie #UnisexHoodie #PatrioticClothes #AmericanApparel #PeaceHoodie #BoldStyle</x:v>
      </x:c>
      <x:c r="I54" s="19" t="str"/>
      <x:c r="J54" s="25" t="n">
        <x:v>0</x:v>
      </x:c>
      <x:c r="K54" s="25" t="n">
        <x:v>0</x:v>
      </x:c>
      <x:c r="L54" s="25" t="n">
        <x:v>0</x:v>
      </x:c>
      <x:c r="M54" s="25" t="n">
        <x:v>0</x:v>
      </x:c>
      <x:c r="N54" s="19" t="str">
        <x:v>https://www.instagram.com/p/DZ9-wOBF6Sw/</x:v>
      </x:c>
      <x:c r="O54" s="19" t="str">
        <x:v>Hoodie</x:v>
      </x:c>
      <x:c r="P54" s="19" t="str">
        <x:v>Likely relevant</x:v>
      </x:c>
      <x:c r="Q54" s="19" t="str">
        <x:v>No</x:v>
      </x:c>
      <x:c r="R54" s="19" t="str">
        <x:v>Keep post; no comments</x:v>
      </x:c>
      <x:c r="S54" s="19" t="str">
        <x:v>No</x:v>
      </x:c>
      <x:c r="T54" s="22" t="str">
        <x:v>The post explicitly names/tags American Apparel or an identified AA product/style.</x:v>
      </x:c>
    </x:row>
    <x:row r="55">
      <x:c r="A55" s="9" t="str">
        <x:v>Instagram</x:v>
      </x:c>
      <x:c r="B55" s="10" t="str">
        <x:v>IG hashtag</x:v>
      </x:c>
      <x:c r="C55" s="10" t="str">
        <x:v>3926570803626744038</x:v>
      </x:c>
      <x:c r="D55" s="16" t="n">
        <x:v>46197.515497685185</x:v>
      </x:c>
      <x:c r="E55" s="10" t="str">
        <x:v>mopes_merch</x:v>
      </x:c>
      <x:c r="F55" s="10" t="str">
        <x:v>Sidecar</x:v>
      </x:c>
      <x:c r="G55" s="19" t="str">
        <x:v>Feel the pride in the Metal Up Classic Unisex Pullover Hoodie | The Patriotic Peace Hoodie - $35, soft, bold, and made to turn heads!!! 🇺🇸🔥 Slip into one and be part of the vibe!!! 🤘🧥 Click the link in our bio to shop now! 🛍️ #PatrioticFashion #MetalUpHoodie #UnisexHoodie #PatrioticClothes #AmericanApparel #PeaceHoodie #BoldStyle</x:v>
      </x:c>
      <x:c r="H55" s="19" t="str">
        <x:v>#PatrioticFashion #MetalUpHoodie #UnisexHoodie #PatrioticClothes #AmericanApparel #PeaceHoodie #BoldStyle</x:v>
      </x:c>
      <x:c r="I55" s="19" t="str"/>
      <x:c r="J55" s="25" t="n">
        <x:v>0</x:v>
      </x:c>
      <x:c r="K55" s="25" t="n">
        <x:v>0</x:v>
      </x:c>
      <x:c r="L55" s="25" t="n">
        <x:v>0</x:v>
      </x:c>
      <x:c r="M55" s="25" t="n">
        <x:v>0</x:v>
      </x:c>
      <x:c r="N55" s="19" t="str">
        <x:v>https://www.instagram.com/p/DZ9-1ePl5jm/</x:v>
      </x:c>
      <x:c r="O55" s="19" t="str">
        <x:v>Hoodie</x:v>
      </x:c>
      <x:c r="P55" s="19" t="str">
        <x:v>Likely relevant</x:v>
      </x:c>
      <x:c r="Q55" s="19" t="str">
        <x:v>No</x:v>
      </x:c>
      <x:c r="R55" s="19" t="str">
        <x:v>Keep post; no comments</x:v>
      </x:c>
      <x:c r="S55" s="19" t="str">
        <x:v>No</x:v>
      </x:c>
      <x:c r="T55" s="22" t="str">
        <x:v>The post explicitly names/tags American Apparel or an identified AA product/style.</x:v>
      </x:c>
    </x:row>
    <x:row r="56">
      <x:c r="A56" s="9" t="str">
        <x:v>TikTok</x:v>
      </x:c>
      <x:c r="B56" s="10" t="str">
        <x:v>TikTok hashtag — validation</x:v>
      </x:c>
      <x:c r="C56" s="10" t="str">
        <x:v>7654960588744953119</x:v>
      </x:c>
      <x:c r="D56" s="16" t="n">
        <x:v>46197.58118055556</x:v>
      </x:c>
      <x:c r="E56" s="10" t="str">
        <x:v>losangelesornewyorkcity</x:v>
      </x:c>
      <x:c r="F56" s="10" t="str">
        <x:v>Video</x:v>
      </x:c>
      <x:c r="G56" s="19" t="str">
        <x:v>make american apparel great again #americanapparel #tumblraesthetic #moodboard #2000s</x:v>
      </x:c>
      <x:c r="H56" s="19" t="str">
        <x:v>#americanapparel #tumblraesthetic #moodboard #2000s</x:v>
      </x:c>
      <x:c r="I56" s="19" t="str"/>
      <x:c r="J56" s="25" t="n">
        <x:v>0</x:v>
      </x:c>
      <x:c r="K56" s="25" t="n">
        <x:v>292</x:v>
      </x:c>
      <x:c r="L56" s="25" t="n">
        <x:v>1765</x:v>
      </x:c>
      <x:c r="M56" s="25" t="n">
        <x:v>1</x:v>
      </x:c>
      <x:c r="N56" s="19" t="str">
        <x:v>https://www.tiktok.com/@losangelesornewyorkcity/video/7654960588744953119</x:v>
      </x:c>
      <x:c r="O56" s="19" t="str"/>
      <x:c r="P56" s="19" t="str">
        <x:v>Likely relevant</x:v>
      </x:c>
      <x:c r="Q56" s="19" t="str">
        <x:v>Yes — explicit revival/dead/awareness language</x:v>
      </x:c>
      <x:c r="R56" s="19" t="str">
        <x:v>Keep post; no comments</x:v>
      </x:c>
      <x:c r="S56" s="19" t="str">
        <x:v>Yes</x:v>
      </x:c>
      <x:c r="T56" s="22" t="str">
        <x:v>The post explicitly names/tags American Apparel or an identified AA product/style.</x:v>
      </x:c>
    </x:row>
    <x:row r="57">
      <x:c r="A57" s="9" t="str">
        <x:v>Instagram</x:v>
      </x:c>
      <x:c r="B57" s="10" t="str">
        <x:v>IG hashtag</x:v>
      </x:c>
      <x:c r="C57" s="10" t="str">
        <x:v>3926710765731008339</x:v>
      </x:c>
      <x:c r="D57" s="16" t="n">
        <x:v>46197.708865740744</x:v>
      </x:c>
      <x:c r="E57" s="10" t="str">
        <x:v>sunactiveinc</x:v>
      </x:c>
      <x:c r="F57" s="10" t="str">
        <x:v>Image</x:v>
      </x:c>
      <x:c r="G57" s="19" t="str">
        <x:v>Big events mean big demand for blanks that deliver. The American Apparel adult tee offers a refined fit and print-ready surface: built for merch runs, team orders, and high-volume promos. Consistent quality makes reorders straightforward. Add premium blanks to your next wholesale order.⁠ ⁠ Style: SA-A28⁠ -⁠ sunactive.com/shirts⁠ (213) 741-9353⁠ ⁠ #SunActiveBrand #WholesaleBlanks #BlankTees #AmericanApparel #PremiumBlanks #EventMerch #PrintReady #BulkApparel</x:v>
      </x:c>
      <x:c r="H57" s="19" t="str">
        <x:v>#SunActiveBrand #WholesaleBlanks #BlankTees #AmericanApparel #PremiumBlanks #EventMerch #PrintReady #BulkApparel</x:v>
      </x:c>
      <x:c r="I57" s="19" t="str"/>
      <x:c r="J57" s="25" t="n">
        <x:v>0</x:v>
      </x:c>
      <x:c r="K57" s="25" t="n">
        <x:v>0</x:v>
      </x:c>
      <x:c r="L57" s="25" t="n">
        <x:v>0</x:v>
      </x:c>
      <x:c r="M57" s="25" t="n">
        <x:v>0</x:v>
      </x:c>
      <x:c r="N57" s="19" t="str">
        <x:v>https://www.instagram.com/p/DZ-eqMHGU9T/</x:v>
      </x:c>
      <x:c r="O57" s="19" t="str">
        <x:v>Blanks</x:v>
      </x:c>
      <x:c r="P57" s="19" t="str">
        <x:v>Likely relevant</x:v>
      </x:c>
      <x:c r="Q57" s="19" t="str">
        <x:v>No</x:v>
      </x:c>
      <x:c r="R57" s="19" t="str">
        <x:v>Keep post; no comments</x:v>
      </x:c>
      <x:c r="S57" s="19" t="str">
        <x:v>No</x:v>
      </x:c>
      <x:c r="T57" s="22" t="str">
        <x:v>The post explicitly names/tags American Apparel or an identified AA product/style.</x:v>
      </x:c>
    </x:row>
    <x:row r="58">
      <x:c r="A58" s="9" t="str">
        <x:v>Instagram</x:v>
      </x:c>
      <x:c r="B58" s="10" t="str">
        <x:v>IG mention</x:v>
      </x:c>
      <x:c r="C58" s="10" t="str">
        <x:v>3927198280504818472</x:v>
      </x:c>
      <x:c r="D58" s="16" t="n">
        <x:v>46198.38582175926</x:v>
      </x:c>
      <x:c r="E58" s="10" t="str">
        <x:v>no.socks.no.panties</x:v>
      </x:c>
      <x:c r="F58" s="10" t="str">
        <x:v>Image</x:v>
      </x:c>
      <x:c r="G58" s="19" t="str">
        <x:v>#hotinthecity frottee-einteiler in kühlem grün von american apparel ein gürtel paßt gut dazu, hier von bally aus fliederfarbenem wildleder, vintage. dazu eine grüne sonnenbrille, marc by marc jacobs = #perfectsummeroutfit #summeressentials #nosocksnopanties #preloved</x:v>
      </x:c>
      <x:c r="H58" s="19" t="str">
        <x:v>#hotinthecity #perfectsummeroutfit #summeressentials #nosocksnopanties #preloved</x:v>
      </x:c>
      <x:c r="I58" s="19" t="str">
        <x:v>@americanapparel @bally @no.socks.no.panties</x:v>
      </x:c>
      <x:c r="J58" s="25" t="n">
        <x:v>0</x:v>
      </x:c>
      <x:c r="K58" s="25" t="n">
        <x:v>9</x:v>
      </x:c>
      <x:c r="L58" s="25" t="n">
        <x:v>0</x:v>
      </x:c>
      <x:c r="M58" s="25" t="n">
        <x:v>0</x:v>
      </x:c>
      <x:c r="N58" s="19" t="str">
        <x:v>https://www.instagram.com/p/DaANgdoA7so/</x:v>
      </x:c>
      <x:c r="O58" s="19" t="str"/>
      <x:c r="P58" s="19" t="str">
        <x:v>Likely relevant</x:v>
      </x:c>
      <x:c r="Q58" s="19" t="str">
        <x:v>No</x:v>
      </x:c>
      <x:c r="R58" s="19" t="str">
        <x:v>Keep post; no comments</x:v>
      </x:c>
      <x:c r="S58" s="19" t="str">
        <x:v>No</x:v>
      </x:c>
      <x:c r="T58" s="22" t="str">
        <x:v>The post explicitly names/tags American Apparel or an identified AA product/style.</x:v>
      </x:c>
    </x:row>
    <x:row r="59">
      <x:c r="A59" s="9" t="str">
        <x:v>Instagram</x:v>
      </x:c>
      <x:c r="B59" s="10" t="str">
        <x:v>IG hashtag</x:v>
      </x:c>
      <x:c r="C59" s="10" t="str">
        <x:v>3927628134572625882</x:v>
      </x:c>
      <x:c r="D59" s="16" t="n">
        <x:v>46198.97431712963</x:v>
      </x:c>
      <x:c r="E59" s="10" t="str">
        <x:v>americaapparels</x:v>
      </x:c>
      <x:c r="F59" s="10" t="str">
        <x:v>Sidecar</x:v>
      </x:c>
      <x:c r="G59" s="19" t="str">
        <x:v>We are Manufacturer &amp; Supplier If anyone wants to work with us we can start with a sample @americaapparels #americanapparel #american #apparel #tshirt #tshirts</x:v>
      </x:c>
      <x:c r="H59" s="19" t="str">
        <x:v>#americanapparel #american #apparel #tshirt #tshirts</x:v>
      </x:c>
      <x:c r="I59" s="19" t="str">
        <x:v>@americaapparels</x:v>
      </x:c>
      <x:c r="J59" s="25" t="n">
        <x:v>0</x:v>
      </x:c>
      <x:c r="K59" s="25" t="n">
        <x:v>1</x:v>
      </x:c>
      <x:c r="L59" s="25" t="n">
        <x:v>0</x:v>
      </x:c>
      <x:c r="M59" s="25" t="n">
        <x:v>0</x:v>
      </x:c>
      <x:c r="N59" s="19" t="str">
        <x:v>https://www.instagram.com/p/DaBvPqbCA_a/</x:v>
      </x:c>
      <x:c r="O59" s="19" t="str"/>
      <x:c r="P59" s="19" t="str">
        <x:v>Likely relevant</x:v>
      </x:c>
      <x:c r="Q59" s="19" t="str">
        <x:v>No</x:v>
      </x:c>
      <x:c r="R59" s="19" t="str">
        <x:v>Keep post; no comments</x:v>
      </x:c>
      <x:c r="S59" s="19" t="str">
        <x:v>No</x:v>
      </x:c>
      <x:c r="T59" s="22" t="str">
        <x:v>The post explicitly names/tags American Apparel or an identified AA product/style.</x:v>
      </x:c>
    </x:row>
    <x:row r="60">
      <x:c r="A60" s="9" t="str">
        <x:v>Instagram</x:v>
      </x:c>
      <x:c r="B60" s="10" t="str">
        <x:v>IG mention</x:v>
      </x:c>
      <x:c r="C60" s="10" t="str">
        <x:v>3928027744874112865</x:v>
      </x:c>
      <x:c r="D60" s="16" t="n">
        <x:v>46199.525671296295</x:v>
      </x:c>
      <x:c r="E60" s="10" t="str">
        <x:v>__astarrynight</x:v>
      </x:c>
      <x:c r="F60" s="10" t="str">
        <x:v>Sidecar</x:v>
      </x:c>
      <x:c r="G60" s="19" t="str">
        <x:v>áo American Apparel Allen Iverson step over Tyronn Lue sketch Size L. Vai 51, ngang 52, dài 67cm. Mới. ❣️229k #basketball #nba #thunmy #dosi #2hand</x:v>
      </x:c>
      <x:c r="H60" s="19" t="str">
        <x:v>#basketball #nba #thunmy #dosi #2hand</x:v>
      </x:c>
      <x:c r="I60" s="19" t="str">
        <x:v>@americanapparel</x:v>
      </x:c>
      <x:c r="J60" s="25" t="n">
        <x:v>0</x:v>
      </x:c>
      <x:c r="K60" s="25" t="n">
        <x:v>1</x:v>
      </x:c>
      <x:c r="L60" s="25" t="n">
        <x:v>0</x:v>
      </x:c>
      <x:c r="M60" s="25" t="n">
        <x:v>0</x:v>
      </x:c>
      <x:c r="N60" s="19" t="str">
        <x:v>https://www.instagram.com/p/DaDKGwhGadh/</x:v>
      </x:c>
      <x:c r="O60" s="19" t="str"/>
      <x:c r="P60" s="19" t="str">
        <x:v>Likely relevant</x:v>
      </x:c>
      <x:c r="Q60" s="19" t="str">
        <x:v>No</x:v>
      </x:c>
      <x:c r="R60" s="19" t="str">
        <x:v>Keep post; no comments</x:v>
      </x:c>
      <x:c r="S60" s="19" t="str">
        <x:v>No</x:v>
      </x:c>
      <x:c r="T60" s="22" t="str">
        <x:v>The post explicitly names/tags American Apparel or an identified AA product/style.</x:v>
      </x:c>
    </x:row>
    <x:row r="61">
      <x:c r="A61" s="9" t="str">
        <x:v>Instagram</x:v>
      </x:c>
      <x:c r="B61" s="10" t="str">
        <x:v>IG hashtag</x:v>
      </x:c>
      <x:c r="C61" s="10" t="str">
        <x:v>3928119559380066329</x:v>
      </x:c>
      <x:c r="D61" s="16" t="n">
        <x:v>46199.652349537035</x:v>
      </x:c>
      <x:c r="E61" s="10" t="str">
        <x:v>trouve2244</x:v>
      </x:c>
      <x:c r="F61" s="10" t="str">
        <x:v>Image</x:v>
      </x:c>
      <x:c r="G61" s="19" t="str">
        <x:v>Red, white &amp; trouvé. 🇺🇸 Our Americana edit is up now — vintage denim, candy-stripe scarves and Fourth of July fits, just for you. Come style your long weekend. ✦ 3828 Cockrell Ave, Fort Worth. #fortworth #fortworthtx #fwtx #dfw #fortworthshopping #fortworthboutique #shoplocalfortworth #tcu #tcustyle #chaostocouture #vintagefashion #curatedvintage #designerresale #prelovedluxury #thriftedstyle #thriftfinds #4thofjulyweekend #americanapparel #redwhiteandblue</x:v>
      </x:c>
      <x:c r="H61" s="19" t="str">
        <x:v>#fortworth #fortworthtx #fwtx #dfw #fortworthshopping #fortworthboutique #shoplocalfortworth #tcu #tcustyle #chaostocouture #vintagefashion #curatedvintage #designerresale #prelovedluxury #thriftedstyle #thriftfinds #4thofjulyweekend #americanapparel #redwhiteandblue</x:v>
      </x:c>
      <x:c r="I61" s="19" t="str"/>
      <x:c r="J61" s="25" t="n">
        <x:v>0</x:v>
      </x:c>
      <x:c r="K61" s="25" t="n">
        <x:v>9</x:v>
      </x:c>
      <x:c r="L61" s="25" t="n">
        <x:v>0</x:v>
      </x:c>
      <x:c r="M61" s="25" t="n">
        <x:v>0</x:v>
      </x:c>
      <x:c r="N61" s="19" t="str">
        <x:v>https://www.instagram.com/p/DaDe-1cHOAZ/</x:v>
      </x:c>
      <x:c r="O61" s="19" t="str"/>
      <x:c r="P61" s="19" t="str">
        <x:v>Likely relevant</x:v>
      </x:c>
      <x:c r="Q61" s="19" t="str">
        <x:v>No</x:v>
      </x:c>
      <x:c r="R61" s="19" t="str">
        <x:v>Keep post; no comments</x:v>
      </x:c>
      <x:c r="S61" s="19" t="str">
        <x:v>No</x:v>
      </x:c>
      <x:c r="T61" s="22" t="str">
        <x:v>The post explicitly names/tags American Apparel or an identified AA product/style.</x:v>
      </x:c>
    </x:row>
    <x:row r="62">
      <x:c r="A62" s="9" t="str">
        <x:v>Instagram</x:v>
      </x:c>
      <x:c r="B62" s="10" t="str">
        <x:v>IG hashtag</x:v>
      </x:c>
      <x:c r="C62" s="10" t="str">
        <x:v>3928462246170871942</x:v>
      </x:c>
      <x:c r="D62" s="16" t="n">
        <x:v>46200.12517361111</x:v>
      </x:c>
      <x:c r="E62" s="10" t="str">
        <x:v>gildan_bangkokthailand</x:v>
      </x:c>
      <x:c r="F62" s="10" t="str">
        <x:v>Sidecar</x:v>
      </x:c>
      <x:c r="G62" s="19" t="str">
        <x:v>Basketball • Hangout • Party 🏀🌃 หนึ่งตัว ครบทุกโมเมนต์ American Apparel 1301 — California Classic 100% Cotton • Regular Fit • Classic White สอบถามไซส์และสต๊อกได้ทางแชทเลยค่ะ โทร: 0853649795 / 0826953626 Line: @gildanbkk (มีไลน์ @ นำหน้าด้วยนะคะ) อีเมล: gildanofficial789@gmail.com Shopee : https://s.shopee.co.th/60P8ev3SAl #AmericanApparel #AA1301 #CaliforniaClassic #FromDayToNight #เสื้อยืดสีขาว #Gildan</x:v>
      </x:c>
      <x:c r="H62" s="19" t="str">
        <x:v>#AmericanApparel #AA1301 #CaliforniaClassic #FromDayToNight #เสื้อยืดสีขาว #Gildan</x:v>
      </x:c>
      <x:c r="I62" s="19" t="str">
        <x:v>@gildanbkk</x:v>
      </x:c>
      <x:c r="J62" s="25" t="n">
        <x:v>0</x:v>
      </x:c>
      <x:c r="K62" s="25" t="n">
        <x:v>0</x:v>
      </x:c>
      <x:c r="L62" s="25" t="n">
        <x:v>0</x:v>
      </x:c>
      <x:c r="M62" s="25" t="n">
        <x:v>0</x:v>
      </x:c>
      <x:c r="N62" s="19" t="str">
        <x:v>https://www.instagram.com/p/DaEs5lYjEiG/</x:v>
      </x:c>
      <x:c r="O62" s="19" t="str">
        <x:v>1301, California Classic</x:v>
      </x:c>
      <x:c r="P62" s="19" t="str">
        <x:v>Likely relevant</x:v>
      </x:c>
      <x:c r="Q62" s="19" t="str">
        <x:v>No</x:v>
      </x:c>
      <x:c r="R62" s="19" t="str">
        <x:v>Keep post; no comments</x:v>
      </x:c>
      <x:c r="S62" s="19" t="str">
        <x:v>No</x:v>
      </x:c>
      <x:c r="T62" s="22" t="str">
        <x:v>The post explicitly names/tags American Apparel or an identified AA product/style.</x:v>
      </x:c>
    </x:row>
    <x:row r="63">
      <x:c r="A63" s="9" t="str">
        <x:v>Instagram</x:v>
      </x:c>
      <x:c r="B63" s="10" t="str">
        <x:v>IG hashtag</x:v>
      </x:c>
      <x:c r="C63" s="10" t="str">
        <x:v>3928984602118347953</x:v>
      </x:c>
      <x:c r="D63" s="16" t="n">
        <x:v>46200.84625</x:v>
      </x:c>
      <x:c r="E63" s="10" t="str">
        <x:v>madsvaneyck1</x:v>
      </x:c>
      <x:c r="F63" s="10" t="str">
        <x:v>Image</x:v>
      </x:c>
      <x:c r="G63" s="19" t="str">
        <x:v>#model by #window wearing #americanapparel #slavicgirl</x:v>
      </x:c>
      <x:c r="H63" s="19" t="str">
        <x:v>#model #window #americanapparel #slavicgirl</x:v>
      </x:c>
      <x:c r="I63" s="19" t="str"/>
      <x:c r="J63" s="25" t="n">
        <x:v>0</x:v>
      </x:c>
      <x:c r="K63" s="25" t="n">
        <x:v>1</x:v>
      </x:c>
      <x:c r="L63" s="25" t="n">
        <x:v>0</x:v>
      </x:c>
      <x:c r="M63" s="25" t="n">
        <x:v>0</x:v>
      </x:c>
      <x:c r="N63" s="19" t="str">
        <x:v>https://www.instagram.com/p/DaGjq3RPlyx/</x:v>
      </x:c>
      <x:c r="O63" s="19" t="str"/>
      <x:c r="P63" s="19" t="str">
        <x:v>Likely relevant</x:v>
      </x:c>
      <x:c r="Q63" s="19" t="str">
        <x:v>No</x:v>
      </x:c>
      <x:c r="R63" s="19" t="str">
        <x:v>Keep post; no comments</x:v>
      </x:c>
      <x:c r="S63" s="19" t="str">
        <x:v>No</x:v>
      </x:c>
      <x:c r="T63" s="22" t="str">
        <x:v>The post explicitly names/tags American Apparel or an identified AA product/style.</x:v>
      </x:c>
    </x:row>
    <x:row r="64">
      <x:c r="A64" s="9" t="str">
        <x:v>Instagram</x:v>
      </x:c>
      <x:c r="B64" s="10" t="str">
        <x:v>IG hashtag</x:v>
      </x:c>
      <x:c r="C64" s="10" t="str">
        <x:v>3929527041250145188</x:v>
      </x:c>
      <x:c r="D64" s="16" t="n">
        <x:v>46201.594305555554</x:v>
      </x:c>
      <x:c r="E64" s="10" t="str">
        <x:v>piece.of_gam</x:v>
      </x:c>
      <x:c r="F64" s="10" t="str">
        <x:v>Sidecar</x:v>
      </x:c>
      <x:c r="G64" s="19" t="str">
        <x:v>เสื้อกล้ามสุดชิค! 🧘🏻‍♀️✨ เนื้อผ้าใส่สบาย ดีไซน์สกรีนลายสวยเก๋ ด้านหน้าเป็นลายมงคลรูปทรงเรขาคณิต ด้านหลังสกรีนลายจักระทั้ง 7 จุด เสื้อเป็นงานแบรนด์ American Apparel (Tri-Blend Collection) ไซส์ S เนื้อผ้านุ่มยืดหยุ่นได้ดี ช่วยให้เคลื่อนไหวสะดวกเวลาออกกำลังกายหรือทำกิจกรรมต่างๆ ค่ะ รายละเอียดสินค้า: ขนาด: อก 26 นิ้ว (ยืดได้ถึง 32 นิ้ว), ความยาว 21 นิ้ว แบรนด์: American Apparel (Tri-Blend Collection) ดีไซน์: เสื้อกล้ามสีน้ำเงิน สกรีนลายกราฟิก ไซส์: S Price : 45.- สนใจ :ทักไลน์ได้เลยงับ 🫶🏻 #เสื้อกล้าม #เสื้อมือสอง #AmericanApparel #เสื้อผ้ามือสอง #ChakraStyle</x:v>
      </x:c>
      <x:c r="H64" s="19" t="str">
        <x:v>#เสื้อกล้าม #เสื้อมือสอง #AmericanApparel #เสื้อผ้ามือสอง #ChakraStyle</x:v>
      </x:c>
      <x:c r="I64" s="19" t="str"/>
      <x:c r="J64" s="25" t="n">
        <x:v>0</x:v>
      </x:c>
      <x:c r="K64" s="25" t="n">
        <x:v>1</x:v>
      </x:c>
      <x:c r="L64" s="25" t="n">
        <x:v>0</x:v>
      </x:c>
      <x:c r="M64" s="25" t="n">
        <x:v>0</x:v>
      </x:c>
      <x:c r="N64" s="19" t="str">
        <x:v>https://www.instagram.com/p/DaIfAZFAbOk/</x:v>
      </x:c>
      <x:c r="O64" s="19" t="str"/>
      <x:c r="P64" s="19" t="str">
        <x:v>Likely relevant</x:v>
      </x:c>
      <x:c r="Q64" s="19" t="str">
        <x:v>No</x:v>
      </x:c>
      <x:c r="R64" s="19" t="str">
        <x:v>Keep post; no comments</x:v>
      </x:c>
      <x:c r="S64" s="19" t="str">
        <x:v>No</x:v>
      </x:c>
      <x:c r="T64" s="22" t="str">
        <x:v>The post explicitly names/tags American Apparel or an identified AA product/style.</x:v>
      </x:c>
    </x:row>
    <x:row r="65">
      <x:c r="A65" s="9" t="str">
        <x:v>Instagram</x:v>
      </x:c>
      <x:c r="B65" s="10" t="str">
        <x:v>IG hashtag</x:v>
      </x:c>
      <x:c r="C65" s="10" t="str">
        <x:v>3929601757805880212</x:v>
      </x:c>
      <x:c r="D65" s="16" t="n">
        <x:v>46201.69902777778</x:v>
      </x:c>
      <x:c r="E65" s="10" t="str">
        <x:v>shopharperandhoney</x:v>
      </x:c>
      <x:c r="F65" s="10" t="str">
        <x:v>Image</x:v>
      </x:c>
      <x:c r="G65" s="19" t="str">
        <x:v>Wondering what you’ll wear on the Fourth? Don’t worry.. we have got you covered from your head to your toes! Shop American-wear until 4 today or online anytime! Can’t wait to see you! 🇺🇸🇺🇸 #americanapparel #usa🇺🇸 #ballgroundboutique</x:v>
      </x:c>
      <x:c r="H65" s="19" t="str">
        <x:v>#americanapparel #usa🇺🇸 #ballgroundboutique</x:v>
      </x:c>
      <x:c r="I65" s="19" t="str"/>
      <x:c r="J65" s="25" t="n">
        <x:v>0</x:v>
      </x:c>
      <x:c r="K65" s="25" t="n">
        <x:v>-1</x:v>
      </x:c>
      <x:c r="L65" s="25" t="n">
        <x:v>0</x:v>
      </x:c>
      <x:c r="M65" s="25" t="n">
        <x:v>0</x:v>
      </x:c>
      <x:c r="N65" s="19" t="str">
        <x:v>https://www.instagram.com/p/DaIv_qSxSOU/</x:v>
      </x:c>
      <x:c r="O65" s="19" t="str"/>
      <x:c r="P65" s="19" t="str">
        <x:v>Likely relevant</x:v>
      </x:c>
      <x:c r="Q65" s="19" t="str">
        <x:v>No</x:v>
      </x:c>
      <x:c r="R65" s="19" t="str">
        <x:v>Keep post; no comments</x:v>
      </x:c>
      <x:c r="S65" s="19" t="str">
        <x:v>No</x:v>
      </x:c>
      <x:c r="T65" s="22" t="str">
        <x:v>The post explicitly names/tags American Apparel or an identified AA product/style.</x:v>
      </x:c>
    </x:row>
    <x:row r="66">
      <x:c r="A66" s="9" t="str">
        <x:v>Instagram</x:v>
      </x:c>
      <x:c r="B66" s="10" t="str">
        <x:v>IG hashtag</x:v>
      </x:c>
      <x:c r="C66" s="10" t="str">
        <x:v>3929882418522747542</x:v>
      </x:c>
      <x:c r="D66" s="16" t="n">
        <x:v>46202.08462962963</x:v>
      </x:c>
      <x:c r="E66" s="10" t="str">
        <x:v>gildan_korea</x:v>
      </x:c>
      <x:c r="F66" s="10" t="str">
        <x:v>Sidecar</x:v>
      </x:c>
      <x:c r="G66" s="19" t="str">
        <x:v>두께감 정말 톡톡해서 절대 싸구려 티 안 나고 #무지티 지만 하나로도 충분히 괜찮은 #오버핏 #반팔티 🧡 뱃살쟁이들에게 추천해요 휙휙 휘감기지 않는 천이👍🏿🙆🏼‍♀️ 𝘛𝘩𝑎𝘯𝘬𝑠 𝑡𝑜 @kimdddda #아메리칸어패럴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H66" s="19" t="str">
        <x:v>#무지티 #오버핏 #반팔티 #아메리칸어패럴 #americanapparel #아메리칸어패럴9001 #9001 #반팔티셔츠 #기본티 #이너티 #레이어드티 #남자반팔티 #여자반팔티 #남녀공용반팔티 #커플반팔티 #무지티셔츠 #무지티브랜드 #데일리티셔츠 #티셔츠추천 #티셔츠코디 #데일리코디 #여자데일리룩</x:v>
      </x:c>
      <x:c r="I66" s="19" t="str">
        <x:v>@kimdddda</x:v>
      </x:c>
      <x:c r="J66" s="25" t="n">
        <x:v>0</x:v>
      </x:c>
      <x:c r="K66" s="25" t="n">
        <x:v>3</x:v>
      </x:c>
      <x:c r="L66" s="25" t="n">
        <x:v>0</x:v>
      </x:c>
      <x:c r="M66" s="25" t="n">
        <x:v>0</x:v>
      </x:c>
      <x:c r="N66" s="19" t="str">
        <x:v>https://www.instagram.com/p/DaJvzz9GfKW/</x:v>
      </x:c>
      <x:c r="O66" s="19" t="str"/>
      <x:c r="P66" s="19" t="str">
        <x:v>Likely relevant</x:v>
      </x:c>
      <x:c r="Q66" s="19" t="str">
        <x:v>No</x:v>
      </x:c>
      <x:c r="R66" s="19" t="str">
        <x:v>Keep post; no comments</x:v>
      </x:c>
      <x:c r="S66" s="19" t="str">
        <x:v>No</x:v>
      </x:c>
      <x:c r="T66" s="22" t="str">
        <x:v>The post explicitly names/tags American Apparel or an identified AA product/style.</x:v>
      </x:c>
    </x:row>
    <x:row r="67">
      <x:c r="A67" s="9" t="str">
        <x:v>Instagram</x:v>
      </x:c>
      <x:c r="B67" s="10" t="str">
        <x:v>IG hashtag</x:v>
      </x:c>
      <x:c r="C67" s="10" t="str">
        <x:v>3929883636162692331</x:v>
      </x:c>
      <x:c r="D67" s="16" t="n">
        <x:v>46202.08631944445</x:v>
      </x:c>
      <x:c r="E67" s="10" t="str">
        <x:v>gildan_korea</x:v>
      </x:c>
      <x:c r="F67" s="10" t="str">
        <x:v>Sidecar</x:v>
      </x:c>
      <x:c r="G67" s="19" t="str">
        <x:v>📌 슈퍼 헤비웨이트 원단으로 묵직한 두께감이 특징인 반팔 티셔츠 오버사이즈 핏으로 디자인되어서 그런지 입었을 때 가벼우면서도 착용감도 좋았습니다. 📌 저는 오버핏이나 박시핏을 선호하는데 실제로 입어보니 제가 원하는 핏에 부합했으며 주위에서 핏 좋다는 말까지 듣기도 했습니다! 📌 미니멀, 캐주얼, 스트릿, 댄디 등등 다양한 룩에도 위화감없이 멋지게 매치할 수 있으며 이너로 입어도 좋습니다. 𝘛𝘩𝑎𝘯𝘬𝑠 𝑡𝑜 @ebroots126 #아메리칸어패럴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H67" s="19" t="str">
        <x:v>#아메리칸어패럴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I67" s="19" t="str">
        <x:v>@ebroots126</x:v>
      </x:c>
      <x:c r="J67" s="25" t="n">
        <x:v>0</x:v>
      </x:c>
      <x:c r="K67" s="25" t="n">
        <x:v>2</x:v>
      </x:c>
      <x:c r="L67" s="25" t="n">
        <x:v>0</x:v>
      </x:c>
      <x:c r="M67" s="25" t="n">
        <x:v>0</x:v>
      </x:c>
      <x:c r="N67" s="19" t="str">
        <x:v>https://www.instagram.com/p/DaJwFh-GQTr/</x:v>
      </x:c>
      <x:c r="O67" s="19" t="str"/>
      <x:c r="P67" s="19" t="str">
        <x:v>Likely relevant</x:v>
      </x:c>
      <x:c r="Q67" s="19" t="str">
        <x:v>No</x:v>
      </x:c>
      <x:c r="R67" s="19" t="str">
        <x:v>Keep post; no comments</x:v>
      </x:c>
      <x:c r="S67" s="19" t="str">
        <x:v>No</x:v>
      </x:c>
      <x:c r="T67" s="22" t="str">
        <x:v>The post explicitly names/tags American Apparel or an identified AA product/style.</x:v>
      </x:c>
    </x:row>
    <x:row r="68">
      <x:c r="A68" s="9" t="str">
        <x:v>Instagram</x:v>
      </x:c>
      <x:c r="B68" s="10" t="str">
        <x:v>IG hashtag</x:v>
      </x:c>
      <x:c r="C68" s="10" t="str">
        <x:v>3929888001653055855</x:v>
      </x:c>
      <x:c r="D68" s="16" t="n">
        <x:v>46202.09233796296</x:v>
      </x:c>
      <x:c r="E68" s="10" t="str">
        <x:v>gildan_korea</x:v>
      </x:c>
      <x:c r="F68" s="10" t="str">
        <x:v>Sidecar</x:v>
      </x:c>
      <x:c r="G68" s="19" t="str">
        <x:v>오늘은 #오버핏 #반팔티 의 근본인 #아메리칸어패럴 티셔츠를 입었습니다. #무지티 좋아하시는 분들은 이미 알고 계신 분들도 있을텐데요 몇 번 입고 버리는 티셔츠가 아닌 슈퍼 헤비웨이트 코튼 반팔 티셔츠로 목과 어깨에는 테이핑 처리와 이중박음질로 꼼꼼한 마감을 했습니다. 색상은 블랙, 화이트, 아이보리 색상으로 오버핏 반팔 무지티 찾고 계신 분들께 적극 추천합니다!🌿 𝘛𝘩𝑎𝘯𝘬𝑠 𝑡𝑜 yeomsong_ #아메리칸어패럴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H68" s="19" t="str">
        <x:v>#오버핏 #반팔티 #아메리칸어패럴 #무지티 #americanapparel #아메리칸어패럴9001 #9001 #반팔티셔츠 #기본티 #이너티 #레이어드티 #남자반팔티 #여자반팔티 #남녀공용반팔티 #커플반팔티 #무지티셔츠 #무지티브랜드 #데일리티셔츠 #티셔츠추천 #티셔츠코디 #데일리코디 #여자데일리룩</x:v>
      </x:c>
      <x:c r="I68" s="19" t="str"/>
      <x:c r="J68" s="25" t="n">
        <x:v>0</x:v>
      </x:c>
      <x:c r="K68" s="25" t="n">
        <x:v>2</x:v>
      </x:c>
      <x:c r="L68" s="25" t="n">
        <x:v>0</x:v>
      </x:c>
      <x:c r="M68" s="25" t="n">
        <x:v>0</x:v>
      </x:c>
      <x:c r="N68" s="19" t="str">
        <x:v>https://www.instagram.com/p/DaJxFDpmaFv/</x:v>
      </x:c>
      <x:c r="O68" s="19" t="str"/>
      <x:c r="P68" s="19" t="str">
        <x:v>Likely relevant</x:v>
      </x:c>
      <x:c r="Q68" s="19" t="str">
        <x:v>No</x:v>
      </x:c>
      <x:c r="R68" s="19" t="str">
        <x:v>Keep post; no comments</x:v>
      </x:c>
      <x:c r="S68" s="19" t="str">
        <x:v>No</x:v>
      </x:c>
      <x:c r="T68" s="22" t="str">
        <x:v>The post explicitly names/tags American Apparel or an identified AA product/style.</x:v>
      </x:c>
    </x:row>
    <x:row r="69">
      <x:c r="A69" s="9" t="str">
        <x:v>Instagram</x:v>
      </x:c>
      <x:c r="B69" s="10" t="str">
        <x:v>IG hashtag</x:v>
      </x:c>
      <x:c r="C69" s="10" t="str">
        <x:v>3929889681782167097</x:v>
      </x:c>
      <x:c r="D69" s="16" t="n">
        <x:v>46202.09465277778</x:v>
      </x:c>
      <x:c r="E69" s="10" t="str">
        <x:v>gildan_korea</x:v>
      </x:c>
      <x:c r="F69" s="10" t="str">
        <x:v>Sidecar</x:v>
      </x:c>
      <x:c r="G69" s="19" t="str">
        <x:v>베이직하게 편하게 입기 좋은 티셔츠✨ 팬츠에도 스커트에도 잘 어울림🫶🏻 이번 여행때도 편하게 착용! 𝘛𝘩𝑎𝘯𝘬𝑠 𝑡𝑜 @luvkongdeer #아메리칸어패럴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H69" s="19" t="str">
        <x:v>#아메리칸어패럴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I69" s="19" t="str">
        <x:v>@luvkongdeer</x:v>
      </x:c>
      <x:c r="J69" s="25" t="n">
        <x:v>0</x:v>
      </x:c>
      <x:c r="K69" s="25" t="n">
        <x:v>2</x:v>
      </x:c>
      <x:c r="L69" s="25" t="n">
        <x:v>0</x:v>
      </x:c>
      <x:c r="M69" s="25" t="n">
        <x:v>0</x:v>
      </x:c>
      <x:c r="N69" s="19" t="str">
        <x:v>https://www.instagram.com/p/DaJxdgZGVY5/</x:v>
      </x:c>
      <x:c r="O69" s="19" t="str"/>
      <x:c r="P69" s="19" t="str">
        <x:v>Likely relevant</x:v>
      </x:c>
      <x:c r="Q69" s="19" t="str">
        <x:v>No</x:v>
      </x:c>
      <x:c r="R69" s="19" t="str">
        <x:v>Keep post; no comments</x:v>
      </x:c>
      <x:c r="S69" s="19" t="str">
        <x:v>No</x:v>
      </x:c>
      <x:c r="T69" s="22" t="str">
        <x:v>The post explicitly names/tags American Apparel or an identified AA product/style.</x:v>
      </x:c>
    </x:row>
    <x:row r="70">
      <x:c r="A70" s="9" t="str">
        <x:v>Instagram</x:v>
      </x:c>
      <x:c r="B70" s="10" t="str">
        <x:v>IG hashtag</x:v>
      </x:c>
      <x:c r="C70" s="10" t="str">
        <x:v>3929891240142268445</x:v>
      </x:c>
      <x:c r="D70" s="16" t="n">
        <x:v>46202.09680555556</x:v>
      </x:c>
      <x:c r="E70" s="10" t="str">
        <x:v>gildan_korea</x:v>
      </x:c>
      <x:c r="F70" s="10" t="str">
        <x:v>Sidecar</x:v>
      </x:c>
      <x:c r="G70" s="19" t="str">
        <x:v>데일리룩으로 딱 좋은 오버핏 티셔츠 🖤 아메리칸어패럴 요즘 데일리로 자주 입고 있는 티셔츠🖤 아메리칸어패럴 9001 오버핏 반팔 입어보니까 확실히 핏이 예쁘게 떨어지는 스타일이라 편하게 입어도 자연스럽게 핏이 살아서 좋더라고요. ✔️ USA 핏이라 어깨 라인이 여유 있게 떨어지고 ✔️ 루즈한 오버핏이라 체형 커버도 자연스럽게 되고 ✔️ 원단도 탄탄한 슈퍼 헤비웨이트라 흐물거림 없이 깔끔하게 유지돼요 특히 목 늘어남 걱정 줄여주는 넥 테이핑 처리랑 꼼꼼한 마감 디테일이 확실히 기본티랑 차이가 느껴졌어요. 블랙색상은 어떤 코디에도 잘 어울려서 데일리템으로 딱이에요✨ 👉 기본티 찾으시는 분들한테 추천드려요 𝘛𝘩𝑎𝘯𝘬𝑠 𝑡𝑜 @lalashow_on #아메리칸어패럴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H70" s="19" t="str">
        <x:v>#아메리칸어패럴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I70" s="19" t="str">
        <x:v>@lalashow_on</x:v>
      </x:c>
      <x:c r="J70" s="25" t="n">
        <x:v>0</x:v>
      </x:c>
      <x:c r="K70" s="25" t="n">
        <x:v>2</x:v>
      </x:c>
      <x:c r="L70" s="25" t="n">
        <x:v>0</x:v>
      </x:c>
      <x:c r="M70" s="25" t="n">
        <x:v>0</x:v>
      </x:c>
      <x:c r="N70" s="19" t="str">
        <x:v>https://www.instagram.com/p/DaJx0LumWgd/</x:v>
      </x:c>
      <x:c r="O70" s="19" t="str"/>
      <x:c r="P70" s="19" t="str">
        <x:v>Likely relevant</x:v>
      </x:c>
      <x:c r="Q70" s="19" t="str">
        <x:v>No</x:v>
      </x:c>
      <x:c r="R70" s="19" t="str">
        <x:v>Keep post; no comments</x:v>
      </x:c>
      <x:c r="S70" s="19" t="str">
        <x:v>No</x:v>
      </x:c>
      <x:c r="T70" s="22" t="str">
        <x:v>The post explicitly names/tags American Apparel or an identified AA product/style.</x:v>
      </x:c>
    </x:row>
    <x:row r="71">
      <x:c r="A71" s="9" t="str">
        <x:v>Instagram</x:v>
      </x:c>
      <x:c r="B71" s="10" t="str">
        <x:v>IG hashtag</x:v>
      </x:c>
      <x:c r="C71" s="10" t="str">
        <x:v>3929891924543643364</x:v>
      </x:c>
      <x:c r="D71" s="16" t="n">
        <x:v>46202.09775462963</x:v>
      </x:c>
      <x:c r="E71" s="10" t="str">
        <x:v>gildan_korea</x:v>
      </x:c>
      <x:c r="F71" s="10" t="str">
        <x:v>Sidecar</x:v>
      </x:c>
      <x:c r="G71" s="19" t="str">
        <x:v>오늘 직접 입어본! [아메리칸어패럴] 오버핏 반팔티셔츠 요즘 손 자주 가는 기본템🖤 아메리칸어패럴 오버핏 반팔티 블랙 컬러예요. 생각보다 더 활용도가 좋아서 만족 중이에요. 일단 원단이 탄탄해서 흐물거리는 느낌 없이 핏이 딱 잡혀요. 그래서 그냥 툭 걸쳐 입어도 핏이 깔끔하게 떨어지고, 자연스럽게 라인 커버도 되는 게 좋더라구요. 특히 카페 갈 때나 잠깐 마실 나갈 때, 고민 없이 입기 좋은 티셔츠! 슬랙스나 데님이랑 매치해도 무난하고, 트레이닝 팬츠랑 입어도 잘 어울려서 코디하기 진짜 편해요. 오버핏이라 착용감도 편해서 오래 입어도 답답함 없고, 운동할 때 입기에도 괜찮을 정도로 활동성도 좋아요. 기본 반팔티 찾고 있다면 하나쯤 있으면 활용도 높게 입기 좋은 제품이라 추천합니다🖤 𝘛𝘩𝑎𝘯𝘬𝑠 𝑡𝑜 @cakao72 #아메리칸어패럴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H71" s="19" t="str">
        <x:v>#아메리칸어패럴 #americanapparel #아메리칸어패럴9001 #9001 #반팔티 #반팔티셔츠 #기본티 #이너티 #레이어드티 #남자반팔티 #여자반팔티 #남녀공용반팔티 #커플반팔티 #무지티 #무지티셔츠 #무지티브랜드 #데일리티셔츠 #티셔츠추천 #티셔츠코디 #데일리코디 #여자데일리룩</x:v>
      </x:c>
      <x:c r="I71" s="19" t="str">
        <x:v>@cakao72</x:v>
      </x:c>
      <x:c r="J71" s="25" t="n">
        <x:v>0</x:v>
      </x:c>
      <x:c r="K71" s="25" t="n">
        <x:v>2</x:v>
      </x:c>
      <x:c r="L71" s="25" t="n">
        <x:v>0</x:v>
      </x:c>
      <x:c r="M71" s="25" t="n">
        <x:v>0</x:v>
      </x:c>
      <x:c r="N71" s="19" t="str">
        <x:v>https://www.instagram.com/p/DaJx-JIGZ7k/</x:v>
      </x:c>
      <x:c r="O71" s="19" t="str"/>
      <x:c r="P71" s="19" t="str">
        <x:v>Likely relevant</x:v>
      </x:c>
      <x:c r="Q71" s="19" t="str">
        <x:v>No</x:v>
      </x:c>
      <x:c r="R71" s="19" t="str">
        <x:v>Keep post; no comments</x:v>
      </x:c>
      <x:c r="S71" s="19" t="str">
        <x:v>No</x:v>
      </x:c>
      <x:c r="T71" s="22" t="str">
        <x:v>The post explicitly names/tags American Apparel or an identified AA product/style.</x:v>
      </x:c>
    </x:row>
    <x:row r="72">
      <x:c r="A72" s="9" t="str">
        <x:v>Instagram</x:v>
      </x:c>
      <x:c r="B72" s="10" t="str">
        <x:v>IG hashtag</x:v>
      </x:c>
      <x:c r="C72" s="10" t="str">
        <x:v>3930712033633376002</x:v>
      </x:c>
      <x:c r="D72" s="16" t="n">
        <x:v>46203.22928240741</x:v>
      </x:c>
      <x:c r="E72" s="10" t="str">
        <x:v>ezyt.thailand</x:v>
      </x:c>
      <x:c r="F72" s="10" t="str">
        <x:v>Sidecar</x:v>
      </x:c>
      <x:c r="G72" s="19" t="str">
        <x:v>แค่หยิบกาแฟ แล้วออกไปเดินเล่น... ☕️🚶‍♂️ หรือจะนั่งพักสายตา หลีกหนีความวุ่นวายระหว่างเดินทาง สำหรับทุกวันที่อยากออกไปใช้ชีวิตในแบบของตัวเอง ให้ 1301 California Classic เป็นเสื้อตัวโปรดของคุณ💚🤍 เสื้อยืดเฮฟวี่เวททรงรีแลกซ์จาก American Apparel ไอเทมที่ใส่ง่าย อยู่ทรงตลอดวัน และเข้ากับทุกช่วงเวลาได้อย่างพอดี . สัมผัสความเรียบง่ายที่ลงตัวได้แล้ววันนี้ 🛒 สั่งซื้อได้ที่ลิ้งค์ Linktree หน้าโปรไฟล์ #AmericanApparel #crafttheculture #ezytthailand</x:v>
      </x:c>
      <x:c r="H72" s="19" t="str">
        <x:v>#AmericanApparel #crafttheculture #ezytthailand</x:v>
      </x:c>
      <x:c r="I72" s="19" t="str"/>
      <x:c r="J72" s="25" t="n">
        <x:v>0</x:v>
      </x:c>
      <x:c r="K72" s="25" t="n">
        <x:v>72</x:v>
      </x:c>
      <x:c r="L72" s="25" t="n">
        <x:v>0</x:v>
      </x:c>
      <x:c r="M72" s="25" t="n">
        <x:v>0</x:v>
      </x:c>
      <x:c r="N72" s="19" t="str">
        <x:v>https://www.instagram.com/p/DaMscTPEhcC/</x:v>
      </x:c>
      <x:c r="O72" s="19" t="str">
        <x:v>1301, California Classic</x:v>
      </x:c>
      <x:c r="P72" s="19" t="str">
        <x:v>Likely relevant</x:v>
      </x:c>
      <x:c r="Q72" s="19" t="str">
        <x:v>No</x:v>
      </x:c>
      <x:c r="R72" s="19" t="str">
        <x:v>Keep post; no comments</x:v>
      </x:c>
      <x:c r="S72" s="19" t="str">
        <x:v>No</x:v>
      </x:c>
      <x:c r="T72" s="22" t="str">
        <x:v>The post explicitly names/tags American Apparel or an identified AA product/style.</x:v>
      </x:c>
    </x:row>
    <x:row r="73">
      <x:c r="A73" s="12" t="str">
        <x:v>TikTok</x:v>
      </x:c>
      <x:c r="B73" s="13" t="str">
        <x:v>TikTok hashtag — validation</x:v>
      </x:c>
      <x:c r="C73" s="13" t="str">
        <x:v>7657239530419850518</x:v>
      </x:c>
      <x:c r="D73" s="17" t="n">
        <x:v>46203.722395833334</x:v>
      </x:c>
      <x:c r="E73" s="13" t="str">
        <x:v>sumay.a6</x:v>
      </x:c>
      <x:c r="F73" s="13" t="str">
        <x:v>Video</x:v>
      </x:c>
      <x:c r="G73" s="20" t="str">
        <x:v>@Garage Clothing yes yes and yes and they do a XXS #garage #americanapparel #fittingroom #OOTD #fyp</x:v>
      </x:c>
      <x:c r="H73" s="20" t="str">
        <x:v>#garage #americanapparel #fittingroom #ootd #fyp</x:v>
      </x:c>
      <x:c r="I73" s="20" t="str"/>
      <x:c r="J73" s="26" t="n">
        <x:v>0</x:v>
      </x:c>
      <x:c r="K73" s="26" t="n">
        <x:v>21</x:v>
      </x:c>
      <x:c r="L73" s="26" t="n">
        <x:v>276</x:v>
      </x:c>
      <x:c r="M73" s="26" t="n">
        <x:v>0</x:v>
      </x:c>
      <x:c r="N73" s="20" t="str">
        <x:v>https://www.tiktok.com/@sumay.a6/video/7657239530419850518</x:v>
      </x:c>
      <x:c r="O73" s="20" t="str"/>
      <x:c r="P73" s="20" t="str">
        <x:v>Likely relevant</x:v>
      </x:c>
      <x:c r="Q73" s="20" t="str">
        <x:v>No</x:v>
      </x:c>
      <x:c r="R73" s="20" t="str">
        <x:v>Keep post; no comments</x:v>
      </x:c>
      <x:c r="S73" s="20" t="str">
        <x:v>No</x:v>
      </x:c>
      <x:c r="T73" s="23" t="str">
        <x:v>The post explicitly names/tags American Apparel or an identified AA product/style.</x:v>
      </x:c>
    </x:row>
  </x:sheetData>
  <x:conditionalFormatting sqref="P2:P73">
    <x:cfRule type="containsText" dxfId="5" priority="1" operator="containsText" text="Likely relevant"/>
    <x:cfRule type="containsText" dxfId="6" priority="2" operator="containsText" text="Ambiguous"/>
    <x:cfRule type="containsText" dxfId="7" priority="3" operator="containsText" text="Giveaway"/>
    <x:cfRule type="containsText" dxfId="8" priority="4" operator="containsText" text="Design-sale"/>
  </x:conditionalFormatting>
  <x:conditionalFormatting sqref="S2:S73">
    <x:cfRule type="containsText" dxfId="9" priority="5" operator="containsText" text="Yes"/>
  </x:conditionalFormatting>
  <x:pageMargins left="0.7" right="0.7" top="0.75" bottom="0.75" header="0.3" footer="0.3"/>
  <x:tableParts count="1">
    <x:tablePart xmlns:r="http://schemas.openxmlformats.org/officeDocument/2006/relationships" r:id="R34d5db04027345d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3" hidden="0" customWidth="1"/>
    <x:col min="5" max="5" width="18" hidden="0" customWidth="1"/>
    <x:col min="6" max="6" width="12" hidden="0" customWidth="1"/>
    <x:col min="7" max="7" width="54" hidden="0" customWidth="1"/>
    <x:col min="8" max="8" width="35" hidden="0" customWidth="1"/>
    <x:col min="9" max="9" width="28" hidden="0" customWidth="1"/>
    <x:col min="10" max="10" width="11" hidden="0" customWidth="1"/>
    <x:col min="11" max="11" width="11" hidden="0" customWidth="1"/>
    <x:col min="12" max="12" width="12" hidden="0" customWidth="1"/>
    <x:col min="13" max="13" width="10" hidden="0" customWidth="1"/>
    <x:col min="14" max="14" width="46" hidden="0" customWidth="1"/>
    <x:col min="15" max="15" width="18" hidden="0" customWidth="1"/>
    <x:col min="16" max="16" width="23" hidden="0" customWidth="1"/>
    <x:col min="17" max="17" width="30" hidden="0" customWidth="1"/>
    <x:col min="18" max="18" width="23" hidden="0" customWidth="1"/>
    <x:col min="19" max="19" width="12" hidden="0" customWidth="1"/>
    <x:col min="20" max="20" width="50" hidden="0" customWidth="1"/>
    <x:col min="21" max="21" width="22" hidden="0" customWidth="1"/>
    <x:col min="22" max="22" width="40" hidden="0" customWidth="1"/>
  </x:cols>
  <x:sheetData>
    <x:row r="1" ht="34" customHeight="1">
      <x:c r="A1" s="4" t="str">
        <x:v>Platform</x:v>
      </x:c>
      <x:c r="B1" s="4" t="str">
        <x:v>Discovery Source</x:v>
      </x:c>
      <x:c r="C1" s="4" t="str">
        <x:v>Post ID</x:v>
      </x:c>
      <x:c r="D1" s="4" t="str">
        <x:v>Published Date</x:v>
      </x:c>
      <x:c r="E1" s="4" t="str">
        <x:v>Author</x:v>
      </x:c>
      <x:c r="F1" s="4" t="str">
        <x:v>Content Type</x:v>
      </x:c>
      <x:c r="G1" s="4" t="str">
        <x:v>Post Text</x:v>
      </x:c>
      <x:c r="H1" s="4" t="str">
        <x:v>Hashtags</x:v>
      </x:c>
      <x:c r="I1" s="4" t="str">
        <x:v>Mentions / Tagged</x:v>
      </x:c>
      <x:c r="J1" s="4" t="str">
        <x:v>Comments</x:v>
      </x:c>
      <x:c r="K1" s="4" t="str">
        <x:v>Likes</x:v>
      </x:c>
      <x:c r="L1" s="4" t="str">
        <x:v>Plays</x:v>
      </x:c>
      <x:c r="M1" s="4" t="str">
        <x:v>Shares</x:v>
      </x:c>
      <x:c r="N1" s="4" t="str">
        <x:v>Source URL</x:v>
      </x:c>
      <x:c r="O1" s="4" t="str">
        <x:v>Style Signals</x:v>
      </x:c>
      <x:c r="P1" s="4" t="str">
        <x:v>Preliminary Bucket</x:v>
      </x:c>
      <x:c r="Q1" s="4" t="str">
        <x:v>Target Signal Candidate</x:v>
      </x:c>
      <x:c r="R1" s="4" t="str">
        <x:v>Gate Decision</x:v>
      </x:c>
      <x:c r="S1" s="4" t="str">
        <x:v>LLM Review?</x:v>
      </x:c>
      <x:c r="T1" s="4" t="str">
        <x:v>Gate Reason</x:v>
      </x:c>
      <x:c r="U1" s="4" t="str">
        <x:v>Human Decision</x:v>
      </x:c>
      <x:c r="V1" s="4" t="str">
        <x:v>Review Notes</x:v>
      </x:c>
    </x:row>
    <x:row r="2">
      <x:c r="A2" s="6" t="str">
        <x:v>Instagram</x:v>
      </x:c>
      <x:c r="B2" s="7" t="str">
        <x:v>IG mention</x:v>
      </x:c>
      <x:c r="C2" s="7" t="str">
        <x:v>3931270423849716983</x:v>
      </x:c>
      <x:c r="D2" s="15" t="n">
        <x:v>46203.99972222222</x:v>
      </x:c>
      <x:c r="E2" s="7" t="str">
        <x:v>luxalot</x:v>
      </x:c>
      <x:c r="F2" s="7" t="str">
        <x:v>Sidecar</x:v>
      </x:c>
      <x:c r="G2" s="18" t="str">
        <x:v>all the styling for my girl @rachelwolfson for the @jackass premiere, promos, and pride!🌈🐅⚡️ 1. Dress: @ronnykobo Jewelry: @bhunicorn Shoes: @kennethcole Bag: @olgabergofficial Makeup: @seriouslymofun Hair: @buddywporter Glow: @globyflo.official 2. Top: @discountuniverse Shorts: @americanapparel Boots: @gianvitorossi HMUA: @cutegirlmorkin 3. Skirt Set: @reformation Shoes: @stevemadden Bag: @jwpei_official HMA: @seriouslymofun 6. Skirt: @camilacoelho Jacket: @dolcegabbana Top: @therubyla Rings: @alexandani + @oakandluna Bag: @prada MHUA: @cutegirlmorkin @cldstyle 7. &amp; 12. all from @bhunicorn✨</x:v>
      </x:c>
      <x:c r="H2" s="18" t="str"/>
      <x:c r="I2" s="18" t="str">
        <x:v>@rachelwolfson @jackass @ronnykobo @bhunicorn @kennethcole @olgabergofficial @seriouslymofun @buddywporter @globyflo.official @discountuniverse @americanapparel @gianvitorossi @cutegirlmorkin @reformation @stevemadden @jwpei_official @camilacoelho @dolcegabbana @therubyla @alexandani @oakandluna @pr</x:v>
      </x:c>
      <x:c r="J2" s="24" t="n">
        <x:v>93</x:v>
      </x:c>
      <x:c r="K2" s="24" t="n">
        <x:v>3593</x:v>
      </x:c>
      <x:c r="L2" s="24" t="n">
        <x:v>0</x:v>
      </x:c>
      <x:c r="M2" s="24" t="n">
        <x:v>0</x:v>
      </x:c>
      <x:c r="N2" s="18" t="str">
        <x:v>https://www.instagram.com/p/DaOrZ8pj8z3/</x:v>
      </x:c>
      <x:c r="O2" s="18" t="str"/>
      <x:c r="P2" s="18" t="str">
        <x:v>Likely relevant</x:v>
      </x:c>
      <x:c r="Q2" s="18" t="str">
        <x:v>No</x:v>
      </x:c>
      <x:c r="R2" s="18" t="str">
        <x:v>LLM then scrape 30</x:v>
      </x:c>
      <x:c r="S2" s="18" t="str">
        <x:v>Yes</x:v>
      </x:c>
      <x:c r="T2" s="18" t="str">
        <x:v>The post explicitly names/tags American Apparel or an identified AA product/style.</x:v>
      </x:c>
      <x:c r="U2" s="27" t="str"/>
      <x:c r="V2" s="28" t="str"/>
    </x:row>
    <x:row r="3">
      <x:c r="A3" s="9" t="str">
        <x:v>Instagram</x:v>
      </x:c>
      <x:c r="B3" s="10" t="str">
        <x:v>IG mention</x:v>
      </x:c>
      <x:c r="C3" s="10" t="str">
        <x:v>3920166440132969206</x:v>
      </x:c>
      <x:c r="D3" s="16" t="n">
        <x:v>46188.679143518515</x:v>
      </x:c>
      <x:c r="E3" s="10" t="str">
        <x:v>jadecasagrande</x:v>
      </x:c>
      <x:c r="F3" s="10" t="str">
        <x:v>Sidecar</x:v>
      </x:c>
      <x:c r="G3" s="19" t="str"/>
      <x:c r="H3" s="19" t="str"/>
      <x:c r="I3" s="19" t="str">
        <x:v>@loewe @ysl @sessun @americanapparel @veronicabeard @gant @miumiu @adanola</x:v>
      </x:c>
      <x:c r="J3" s="25" t="n">
        <x:v>40</x:v>
      </x:c>
      <x:c r="K3" s="25" t="n">
        <x:v>3339</x:v>
      </x:c>
      <x:c r="L3" s="25" t="n">
        <x:v>0</x:v>
      </x:c>
      <x:c r="M3" s="25" t="n">
        <x:v>0</x:v>
      </x:c>
      <x:c r="N3" s="19" t="str">
        <x:v>https://www.instagram.com/p/DZnOpt8iIL2/</x:v>
      </x:c>
      <x:c r="O3" s="19" t="str"/>
      <x:c r="P3" s="19" t="str">
        <x:v>Ambiguous / incidental</x:v>
      </x:c>
      <x:c r="Q3" s="19" t="str">
        <x:v>No</x:v>
      </x:c>
      <x:c r="R3" s="19" t="str">
        <x:v>LLM then scrape 30</x:v>
      </x:c>
      <x:c r="S3" s="19" t="str">
        <x:v>Yes</x:v>
      </x:c>
      <x:c r="T3" s="19" t="str">
        <x:v>The brand is discovered through a tag/mention but is not clearly the subject of the caption.</x:v>
      </x:c>
      <x:c r="U3" s="29" t="str"/>
      <x:c r="V3" s="30" t="str"/>
    </x:row>
    <x:row r="4">
      <x:c r="A4" s="9" t="str">
        <x:v>Instagram</x:v>
      </x:c>
      <x:c r="B4" s="10" t="str">
        <x:v>IG mention</x:v>
      </x:c>
      <x:c r="C4" s="10" t="str">
        <x:v>3926701609517914732</x:v>
      </x:c>
      <x:c r="D4" s="16" t="n">
        <x:v>46197.69917824074</x:v>
      </x:c>
      <x:c r="E4" s="10" t="str">
        <x:v>j_honey_5</x:v>
      </x:c>
      <x:c r="F4" s="10" t="str">
        <x:v>Video</x:v>
      </x:c>
      <x:c r="G4" s="19" t="str">
        <x:v>The lamp was the beginning. The legend is me. ✨🧞‍♀️✨ #versace #fyp #facecard #explore #reelsfypシ</x:v>
      </x:c>
      <x:c r="H4" s="19" t="str">
        <x:v>#versace #fyp #facecard #explore #reelsfypシ</x:v>
      </x:c>
      <x:c r="I4" s="19" t="str">
        <x:v>@versace @monai.the.muse @americanapparel @donatella_versace @knotjustbraidsllc</x:v>
      </x:c>
      <x:c r="J4" s="25" t="n">
        <x:v>38</x:v>
      </x:c>
      <x:c r="K4" s="25" t="n">
        <x:v>-1</x:v>
      </x:c>
      <x:c r="L4" s="25" t="n">
        <x:v>0</x:v>
      </x:c>
      <x:c r="M4" s="25" t="n">
        <x:v>0</x:v>
      </x:c>
      <x:c r="N4" s="19" t="str">
        <x:v>https://www.instagram.com/p/DZ-ck8uRRps/</x:v>
      </x:c>
      <x:c r="O4" s="19" t="str"/>
      <x:c r="P4" s="19" t="str">
        <x:v>Ambiguous / incidental</x:v>
      </x:c>
      <x:c r="Q4" s="19" t="str">
        <x:v>No</x:v>
      </x:c>
      <x:c r="R4" s="19" t="str">
        <x:v>LLM then scrape 30</x:v>
      </x:c>
      <x:c r="S4" s="19" t="str">
        <x:v>Yes</x:v>
      </x:c>
      <x:c r="T4" s="19" t="str">
        <x:v>The brand is discovered through a tag/mention but is not clearly the subject of the caption.</x:v>
      </x:c>
      <x:c r="U4" s="29" t="str"/>
      <x:c r="V4" s="30" t="str"/>
    </x:row>
    <x:row r="5">
      <x:c r="A5" s="9" t="str">
        <x:v>Instagram</x:v>
      </x:c>
      <x:c r="B5" s="10" t="str">
        <x:v>IG mention</x:v>
      </x:c>
      <x:c r="C5" s="10" t="str">
        <x:v>3928589140133046851</x:v>
      </x:c>
      <x:c r="D5" s="16" t="n">
        <x:v>46200.30025462963</x:v>
      </x:c>
      <x:c r="E5" s="10" t="str">
        <x:v>so_rhidiculous</x:v>
      </x:c>
      <x:c r="F5" s="10" t="str">
        <x:v>Sidecar</x:v>
      </x:c>
      <x:c r="G5" s="19" t="str">
        <x:v>It’s a Supergirl Summer! Catch @supergirl this weekend in @imax @cineplexmovies 🙌🏽 #Supergirl #WBPartner #DC #Krypto</x:v>
      </x:c>
      <x:c r="H5" s="19" t="str">
        <x:v>#Supergirl #WBPartner #DC #Krypto</x:v>
      </x:c>
      <x:c r="I5" s="19" t="str">
        <x:v>@supergirl @imax @cineplexmovies @americanapparel @dcofficial @warnerbrosca @georgepimentel1 @ybimcto @eyegotyouinc @tematresses @chris_holmes7 @itszaybaybay @the.ali.way @hashtagperpetuallynerdy @iamsupafly</x:v>
      </x:c>
      <x:c r="J5" s="25" t="n">
        <x:v>34</x:v>
      </x:c>
      <x:c r="K5" s="25" t="n">
        <x:v>165</x:v>
      </x:c>
      <x:c r="L5" s="25" t="n">
        <x:v>0</x:v>
      </x:c>
      <x:c r="M5" s="25" t="n">
        <x:v>0</x:v>
      </x:c>
      <x:c r="N5" s="19" t="str">
        <x:v>https://www.instagram.com/p/DaFJwImFmpD/</x:v>
      </x:c>
      <x:c r="O5" s="19" t="str"/>
      <x:c r="P5" s="19" t="str">
        <x:v>Ambiguous / incidental</x:v>
      </x:c>
      <x:c r="Q5" s="19" t="str">
        <x:v>No</x:v>
      </x:c>
      <x:c r="R5" s="19" t="str">
        <x:v>LLM then scrape 30</x:v>
      </x:c>
      <x:c r="S5" s="19" t="str">
        <x:v>Yes</x:v>
      </x:c>
      <x:c r="T5" s="19" t="str">
        <x:v>The brand is discovered through a tag/mention but is not clearly the subject of the caption.</x:v>
      </x:c>
      <x:c r="U5" s="29" t="str"/>
      <x:c r="V5" s="30" t="str"/>
    </x:row>
    <x:row r="6">
      <x:c r="A6" s="9" t="str">
        <x:v>Instagram</x:v>
      </x:c>
      <x:c r="B6" s="10" t="str">
        <x:v>IG mention</x:v>
      </x:c>
      <x:c r="C6" s="10" t="str">
        <x:v>3921027654581060855</x:v>
      </x:c>
      <x:c r="D6" s="16" t="n">
        <x:v>46189.86783564815</x:v>
      </x:c>
      <x:c r="E6" s="10" t="str">
        <x:v>bianca_okoye</x:v>
      </x:c>
      <x:c r="F6" s="10" t="str">
        <x:v>Video</x:v>
      </x:c>
      <x:c r="G6" s="19" t="str">
        <x:v>Once you stop worrying about looking silly, comparing yourself to others, and start focusing on creating, you’ll begin to see the rewards. 💫 It takes time, consistency, PRAYER and the right mindset but trust me, it pays off. 🚀✨</x:v>
      </x:c>
      <x:c r="H6" s="19" t="str"/>
      <x:c r="I6" s="19" t="str">
        <x:v>@benefitcosmetics @coach @americanapparel @clarinsusa @paulaschoice @prettylittlething @hourglasscosmetics @sheamoisture @eosproducts @peachandlily @eyebuydirect @koparibeauty @lancomeofficial @milkmakeup @larocheposayusa @armanibeauty @drinkolipop @luckygirlrose @tphbytaraji @naturium</x:v>
      </x:c>
      <x:c r="J6" s="25" t="n">
        <x:v>32</x:v>
      </x:c>
      <x:c r="K6" s="25" t="n">
        <x:v>54</x:v>
      </x:c>
      <x:c r="L6" s="25" t="n">
        <x:v>0</x:v>
      </x:c>
      <x:c r="M6" s="25" t="n">
        <x:v>0</x:v>
      </x:c>
      <x:c r="N6" s="19" t="str">
        <x:v>https://www.instagram.com/p/DZqSeCZyYT3/</x:v>
      </x:c>
      <x:c r="O6" s="19" t="str"/>
      <x:c r="P6" s="19" t="str">
        <x:v>Ambiguous / incidental</x:v>
      </x:c>
      <x:c r="Q6" s="19" t="str">
        <x:v>No</x:v>
      </x:c>
      <x:c r="R6" s="19" t="str">
        <x:v>LLM then scrape 30</x:v>
      </x:c>
      <x:c r="S6" s="19" t="str">
        <x:v>Yes</x:v>
      </x:c>
      <x:c r="T6" s="19" t="str">
        <x:v>The brand is discovered through a tag/mention but is not clearly the subject of the caption.</x:v>
      </x:c>
      <x:c r="U6" s="29" t="str"/>
      <x:c r="V6" s="30" t="str"/>
    </x:row>
    <x:row r="7">
      <x:c r="A7" s="9" t="str">
        <x:v>Instagram</x:v>
      </x:c>
      <x:c r="B7" s="10" t="str">
        <x:v>IG mention</x:v>
      </x:c>
      <x:c r="C7" s="10" t="str">
        <x:v>3928217094522678263</x:v>
      </x:c>
      <x:c r="D7" s="16" t="n">
        <x:v>46199.788773148146</x:v>
      </x:c>
      <x:c r="E7" s="10" t="str">
        <x:v>itskiiaxo</x:v>
      </x:c>
      <x:c r="F7" s="10" t="str">
        <x:v>Video</x:v>
      </x:c>
      <x:c r="G7" s="19" t="str">
        <x:v>Another day, another round of golf ⛳️ #golf #sports #fun #activity #virtualgolf</x:v>
      </x:c>
      <x:c r="H7" s="19" t="str">
        <x:v>#golf #sports #fun #activity #virtualgolf</x:v>
      </x:c>
      <x:c r="I7" s="19" t="str">
        <x:v>@dynamiteclothing @americanapparel @callawaygolf @damien_dream @prettylittlething @titleistca @bombshellsportswear @taylormade_ca @ping.golf @romwe @dimadavydov97 @callawayapparel @shein_ca @amazonca @amazonessentials @prettygarden.official @muni.mtl @golfenvillemtl @lebirdie.golf @fikagolf.montreal</x:v>
      </x:c>
      <x:c r="J7" s="25" t="n">
        <x:v>31</x:v>
      </x:c>
      <x:c r="K7" s="25" t="n">
        <x:v>65</x:v>
      </x:c>
      <x:c r="L7" s="25" t="n">
        <x:v>0</x:v>
      </x:c>
      <x:c r="M7" s="25" t="n">
        <x:v>0</x:v>
      </x:c>
      <x:c r="N7" s="19" t="str">
        <x:v>https://www.instagram.com/p/DaD1KKHpCv3/</x:v>
      </x:c>
      <x:c r="O7" s="19" t="str"/>
      <x:c r="P7" s="19" t="str">
        <x:v>Ambiguous / incidental</x:v>
      </x:c>
      <x:c r="Q7" s="19" t="str">
        <x:v>No</x:v>
      </x:c>
      <x:c r="R7" s="19" t="str">
        <x:v>LLM then scrape 30</x:v>
      </x:c>
      <x:c r="S7" s="19" t="str">
        <x:v>Yes</x:v>
      </x:c>
      <x:c r="T7" s="19" t="str">
        <x:v>The brand is discovered through a tag/mention but is not clearly the subject of the caption.</x:v>
      </x:c>
      <x:c r="U7" s="29" t="str"/>
      <x:c r="V7" s="30" t="str"/>
    </x:row>
    <x:row r="8">
      <x:c r="A8" s="9" t="str">
        <x:v>Instagram</x:v>
      </x:c>
      <x:c r="B8" s="10" t="str">
        <x:v>IG mention</x:v>
      </x:c>
      <x:c r="C8" s="10" t="str">
        <x:v>3921618575934157353</x:v>
      </x:c>
      <x:c r="D8" s="16" t="n">
        <x:v>46190.682708333334</x:v>
      </x:c>
      <x:c r="E8" s="10" t="str">
        <x:v>brookehhall</x:v>
      </x:c>
      <x:c r="F8" s="10" t="str">
        <x:v>Sidecar</x:v>
      </x:c>
      <x:c r="G8" s="19" t="str">
        <x:v>My recent HAD TO HAVES! From Amazon shorts to a sarong for the beach, these are some of my new favorites! Comment LINK for details 😘</x:v>
      </x:c>
      <x:c r="H8" s="19" t="str"/>
      <x:c r="I8" s="19" t="str">
        <x:v>@americanapparel @amazonfashion @spanx @wiskiiactive @ramybrook @alpnrock @sitano_official @dillards @anthropologie @tuckernuck @susanshaw @zsupply @zara</x:v>
      </x:c>
      <x:c r="J8" s="25" t="n">
        <x:v>30</x:v>
      </x:c>
      <x:c r="K8" s="25" t="n">
        <x:v>46</x:v>
      </x:c>
      <x:c r="L8" s="25" t="n">
        <x:v>0</x:v>
      </x:c>
      <x:c r="M8" s="25" t="n">
        <x:v>0</x:v>
      </x:c>
      <x:c r="N8" s="19" t="str">
        <x:v>https://www.instagram.com/p/DZsY1EzIPIp/</x:v>
      </x:c>
      <x:c r="O8" s="19" t="str"/>
      <x:c r="P8" s="19" t="str">
        <x:v>Ambiguous / incidental</x:v>
      </x:c>
      <x:c r="Q8" s="19" t="str">
        <x:v>No</x:v>
      </x:c>
      <x:c r="R8" s="19" t="str">
        <x:v>LLM then scrape 30</x:v>
      </x:c>
      <x:c r="S8" s="19" t="str">
        <x:v>Yes</x:v>
      </x:c>
      <x:c r="T8" s="19" t="str">
        <x:v>The brand is discovered through a tag/mention but is not clearly the subject of the caption.</x:v>
      </x:c>
      <x:c r="U8" s="29" t="str"/>
      <x:c r="V8" s="30" t="str"/>
    </x:row>
    <x:row r="9">
      <x:c r="A9" s="9" t="str">
        <x:v>Instagram</x:v>
      </x:c>
      <x:c r="B9" s="10" t="str">
        <x:v>IG mention</x:v>
      </x:c>
      <x:c r="C9" s="10" t="str">
        <x:v>3926994467219952268</x:v>
      </x:c>
      <x:c r="D9" s="16" t="n">
        <x:v>46198.100023148145</x:v>
      </x:c>
      <x:c r="E9" s="10" t="str">
        <x:v>chelseamato</x:v>
      </x:c>
      <x:c r="F9" s="10" t="str">
        <x:v>Sidecar</x:v>
      </x:c>
      <x:c r="G9" s="19" t="str">
        <x:v>@indiesleaze</x:v>
      </x:c>
      <x:c r="H9" s="19" t="str"/>
      <x:c r="I9" s="19" t="str">
        <x:v>@indiesleaze @sweetlikesaul @helloamandabrown @amanduhhfaye @americanapparel @katsparklez @nish3000 @k80stew @lizmundle</x:v>
      </x:c>
      <x:c r="J9" s="25" t="n">
        <x:v>22</x:v>
      </x:c>
      <x:c r="K9" s="25" t="n">
        <x:v>199</x:v>
      </x:c>
      <x:c r="L9" s="25" t="n">
        <x:v>0</x:v>
      </x:c>
      <x:c r="M9" s="25" t="n">
        <x:v>0</x:v>
      </x:c>
      <x:c r="N9" s="19" t="str">
        <x:v>https://www.instagram.com/p/DZ_fKltkdKM/</x:v>
      </x:c>
      <x:c r="O9" s="19" t="str"/>
      <x:c r="P9" s="19" t="str">
        <x:v>Ambiguous / incidental</x:v>
      </x:c>
      <x:c r="Q9" s="19" t="str">
        <x:v>No</x:v>
      </x:c>
      <x:c r="R9" s="19" t="str">
        <x:v>LLM then scrape 30</x:v>
      </x:c>
      <x:c r="S9" s="19" t="str">
        <x:v>Yes</x:v>
      </x:c>
      <x:c r="T9" s="19" t="str">
        <x:v>The brand is discovered through a tag/mention but is not clearly the subject of the caption.</x:v>
      </x:c>
      <x:c r="U9" s="29" t="str"/>
      <x:c r="V9" s="30" t="str"/>
    </x:row>
    <x:row r="10">
      <x:c r="A10" s="9" t="str">
        <x:v>Instagram</x:v>
      </x:c>
      <x:c r="B10" s="10" t="str">
        <x:v>IG mention</x:v>
      </x:c>
      <x:c r="C10" s="10" t="str">
        <x:v>3927935509327010353</x:v>
      </x:c>
      <x:c r="D10" s="16" t="n">
        <x:v>46199.398414351854</x:v>
      </x:c>
      <x:c r="E10" s="10" t="str">
        <x:v>pinoxkino</x:v>
      </x:c>
      <x:c r="F10" s="10" t="str">
        <x:v>Sidecar</x:v>
      </x:c>
      <x:c r="G10" s="19" t="str">
        <x:v>• #협찬 @americanapparel 👕아메리칸어패럴 박시핏 나시티 무더운 여름 시원하게 입을 나시티✨ #아메리칸어패럴 #나시티 #머슬핏 오늘 내용이 도움 되셨다면 : 좋아요, 저장, 공유🙏 @pinoxkino @pinoxkino @pinoxkino 🖥️Purchasing Site • https://gildan.co.kr/category/207gd203g-usa/424 🎶Song • @chrisbrownofficial - #summertoohot</x:v>
      </x:c>
      <x:c r="H10" s="19" t="str">
        <x:v>#협찬 #아메리칸어패럴 #나시티 #머슬핏 #summertoohot</x:v>
      </x:c>
      <x:c r="I10" s="19" t="str">
        <x:v>@americanapparel @pinoxkino @chrisbrownofficial @stussy @gildan_korea @americanapparelanz</x:v>
      </x:c>
      <x:c r="J10" s="25" t="n">
        <x:v>20</x:v>
      </x:c>
      <x:c r="K10" s="25" t="n">
        <x:v>144</x:v>
      </x:c>
      <x:c r="L10" s="25" t="n">
        <x:v>0</x:v>
      </x:c>
      <x:c r="M10" s="25" t="n">
        <x:v>0</x:v>
      </x:c>
      <x:c r="N10" s="19" t="str">
        <x:v>https://www.instagram.com/p/DaC1IjeFFox/</x:v>
      </x:c>
      <x:c r="O10" s="19" t="str"/>
      <x:c r="P10" s="19" t="str">
        <x:v>Likely relevant</x:v>
      </x:c>
      <x:c r="Q10" s="19" t="str">
        <x:v>No</x:v>
      </x:c>
      <x:c r="R10" s="19" t="str">
        <x:v>LLM then scrape 30</x:v>
      </x:c>
      <x:c r="S10" s="19" t="str">
        <x:v>Yes</x:v>
      </x:c>
      <x:c r="T10" s="19" t="str">
        <x:v>The post explicitly names/tags American Apparel or an identified AA product/style.</x:v>
      </x:c>
      <x:c r="U10" s="29" t="str"/>
      <x:c r="V10" s="30" t="str"/>
    </x:row>
    <x:row r="11">
      <x:c r="A11" s="9" t="str">
        <x:v>Instagram</x:v>
      </x:c>
      <x:c r="B11" s="10" t="str">
        <x:v>IG mention</x:v>
      </x:c>
      <x:c r="C11" s="10" t="str">
        <x:v>3926623745675536808</x:v>
      </x:c>
      <x:c r="D11" s="16" t="n">
        <x:v>46197.58851851852</x:v>
      </x:c>
      <x:c r="E11" s="10" t="str">
        <x:v>i_am_yonxx</x:v>
      </x:c>
      <x:c r="F11" s="10" t="str">
        <x:v>Sidecar</x:v>
      </x:c>
      <x:c r="G11" s="19" t="str">
        <x:v>주말에 옷정리를 위해 장롱을 열어보다가 발견한! 아메리칸 어패럴을 아시나요? 진짜 제가 엄청 좋아했었음. 에첸엠옷은 환불할껄 그랬고 코랄이랑 하늘색은 친구주기로 했고 암튼 빨간색옷도 참 많네. 저는 옷살때 왠만하면 환불은 안해요. 왜냐면 귀찮거든요. COS H&amp;M ZARA는 사이즈를 잘 알아서 환불한일이 0.1% 인데 이번엔 전부 H&amp;M 환불을 안한걸 후회중 . 입을 옷이 많은거같은데 왜케 별로지. 일단 내일부터 매일 20km뛰면 살이빠질까? 를 해볼게요 🥹✨🔥🩷💚🏃🏻‍♀️‍➡️🏃🏽‍♀️🐈🐩💐🌷💕🩵💙하 진짜 뭔가 왜이렇게 별로지</x:v>
      </x:c>
      <x:c r="H11" s="19" t="str"/>
      <x:c r="I11" s="19" t="str">
        <x:v>@americanapparel</x:v>
      </x:c>
      <x:c r="J11" s="25" t="n">
        <x:v>16</x:v>
      </x:c>
      <x:c r="K11" s="25" t="n">
        <x:v>139</x:v>
      </x:c>
      <x:c r="L11" s="25" t="n">
        <x:v>0</x:v>
      </x:c>
      <x:c r="M11" s="25" t="n">
        <x:v>0</x:v>
      </x:c>
      <x:c r="N11" s="19" t="str">
        <x:v>https://www.instagram.com/p/DZ-K34Xmqmo/</x:v>
      </x:c>
      <x:c r="O11" s="19" t="str"/>
      <x:c r="P11" s="19" t="str">
        <x:v>Likely relevant</x:v>
      </x:c>
      <x:c r="Q11" s="19" t="str">
        <x:v>Review — nostalgia/awareness adjacent</x:v>
      </x:c>
      <x:c r="R11" s="19" t="str">
        <x:v>Scrape comments</x:v>
      </x:c>
      <x:c r="S11" s="19" t="str">
        <x:v>Yes</x:v>
      </x:c>
      <x:c r="T11" s="19" t="str">
        <x:v>The post explicitly names/tags American Apparel or an identified AA product/style.</x:v>
      </x:c>
      <x:c r="U11" s="29" t="str"/>
      <x:c r="V11" s="30" t="str"/>
    </x:row>
    <x:row r="12">
      <x:c r="A12" s="9" t="str">
        <x:v>TikTok</x:v>
      </x:c>
      <x:c r="B12" s="10" t="str">
        <x:v>TikTok hashtag — pilot</x:v>
      </x:c>
      <x:c r="C12" s="10" t="str">
        <x:v>7656568396028366111</x:v>
      </x:c>
      <x:c r="D12" s="16" t="n">
        <x:v>46201.91395833333</x:v>
      </x:c>
      <x:c r="E12" s="10" t="str">
        <x:v>hellofromniko</x:v>
      </x:c>
      <x:c r="F12" s="10" t="str">
        <x:v>Video</x:v>
      </x:c>
      <x:c r="G12" s="19" t="str">
        <x:v>Replying to @Kevs Let’s talk blanks! Here are the two t-shirts I use for my screen printing projects! Hope this helps! @everybody.world #screenprinting #screenprint #blanks #tshirts #diy</x:v>
      </x:c>
      <x:c r="H12" s="19" t="str">
        <x:v>#screenprinting #screenprint #blanks #tshirts #diy</x:v>
      </x:c>
      <x:c r="I12" s="19" t="str">
        <x:v>@Kevs @everybody.world</x:v>
      </x:c>
      <x:c r="J12" s="25" t="n">
        <x:v>15</x:v>
      </x:c>
      <x:c r="K12" s="25" t="n">
        <x:v>758</x:v>
      </x:c>
      <x:c r="L12" s="25" t="n">
        <x:v>9983</x:v>
      </x:c>
      <x:c r="M12" s="25" t="n">
        <x:v>12</x:v>
      </x:c>
      <x:c r="N12" s="19" t="str">
        <x:v>https://www.tiktok.com/@hellofromniko/video/7656568396028366111</x:v>
      </x:c>
      <x:c r="O12" s="19" t="str">
        <x:v>Blanks</x:v>
      </x:c>
      <x:c r="P12" s="19" t="str">
        <x:v>Ambiguous / incidental</x:v>
      </x:c>
      <x:c r="Q12" s="19" t="str">
        <x:v>No</x:v>
      </x:c>
      <x:c r="R12" s="19" t="str">
        <x:v>LLM review</x:v>
      </x:c>
      <x:c r="S12" s="19" t="str">
        <x:v>Yes</x:v>
      </x:c>
      <x:c r="T12" s="19" t="str">
        <x:v>The brand is discovered through a tag/mention but is not clearly the subject of the caption.</x:v>
      </x:c>
      <x:c r="U12" s="29" t="str"/>
      <x:c r="V12" s="30" t="str"/>
    </x:row>
    <x:row r="13">
      <x:c r="A13" s="9" t="str">
        <x:v>Instagram</x:v>
      </x:c>
      <x:c r="B13" s="10" t="str">
        <x:v>IG mention</x:v>
      </x:c>
      <x:c r="C13" s="10" t="str">
        <x:v>3920220262617014466</x:v>
      </x:c>
      <x:c r="D13" s="16" t="n">
        <x:v>46188.75340277778</x:v>
      </x:c>
      <x:c r="E13" s="10" t="str">
        <x:v>imaginary_carrio</x:v>
      </x:c>
      <x:c r="F13" s="10" t="str">
        <x:v>Sidecar</x:v>
      </x:c>
      <x:c r="G13" s="19" t="str">
        <x:v>Summertime 2026 vs 2008 🤩😎</x:v>
      </x:c>
      <x:c r="H13" s="19" t="str"/>
      <x:c r="I13" s="19" t="str">
        <x:v>@fossil @americanapparel @hollister @abercrombie @jimmychoo @emilyisalover @carrera @oldnavy @sf_ander @hm_man</x:v>
      </x:c>
      <x:c r="J13" s="25" t="n">
        <x:v>10</x:v>
      </x:c>
      <x:c r="K13" s="25" t="n">
        <x:v>79</x:v>
      </x:c>
      <x:c r="L13" s="25" t="n">
        <x:v>0</x:v>
      </x:c>
      <x:c r="M13" s="25" t="n">
        <x:v>0</x:v>
      </x:c>
      <x:c r="N13" s="19" t="str">
        <x:v>https://www.instagram.com/p/DZna48Ck2DC/</x:v>
      </x:c>
      <x:c r="O13" s="19" t="str"/>
      <x:c r="P13" s="19" t="str">
        <x:v>Ambiguous / incidental</x:v>
      </x:c>
      <x:c r="Q13" s="19" t="str">
        <x:v>No</x:v>
      </x:c>
      <x:c r="R13" s="19" t="str">
        <x:v>LLM review</x:v>
      </x:c>
      <x:c r="S13" s="19" t="str">
        <x:v>Yes</x:v>
      </x:c>
      <x:c r="T13" s="19" t="str">
        <x:v>The brand is discovered through a tag/mention but is not clearly the subject of the caption.</x:v>
      </x:c>
      <x:c r="U13" s="29" t="str"/>
      <x:c r="V13" s="30" t="str"/>
    </x:row>
    <x:row r="14">
      <x:c r="A14" s="9" t="str">
        <x:v>Instagram</x:v>
      </x:c>
      <x:c r="B14" s="10" t="str">
        <x:v>IG mention</x:v>
      </x:c>
      <x:c r="C14" s="10" t="str">
        <x:v>3921861929626310091</x:v>
      </x:c>
      <x:c r="D14" s="16" t="n">
        <x:v>46191.018472222226</x:v>
      </x:c>
      <x:c r="E14" s="10" t="str">
        <x:v>gabrielledaramalay</x:v>
      </x:c>
      <x:c r="F14" s="10" t="str">
        <x:v>Sidecar</x:v>
      </x:c>
      <x:c r="G14" s="19" t="str">
        <x:v>and her side quests against the world</x:v>
      </x:c>
      <x:c r="H14" s="19" t="str"/>
      <x:c r="I14" s="19" t="str">
        <x:v>@billabongwomens @billabongindonesia @americanapparel @hijacksandals @thenomadbali @gayakamiofficial</x:v>
      </x:c>
      <x:c r="J14" s="25" t="n">
        <x:v>10</x:v>
      </x:c>
      <x:c r="K14" s="25" t="n">
        <x:v>249</x:v>
      </x:c>
      <x:c r="L14" s="25" t="n">
        <x:v>0</x:v>
      </x:c>
      <x:c r="M14" s="25" t="n">
        <x:v>0</x:v>
      </x:c>
      <x:c r="N14" s="19" t="str">
        <x:v>https://www.instagram.com/p/DZtQKVlgRXL/</x:v>
      </x:c>
      <x:c r="O14" s="19" t="str"/>
      <x:c r="P14" s="19" t="str">
        <x:v>Ambiguous / incidental</x:v>
      </x:c>
      <x:c r="Q14" s="19" t="str">
        <x:v>No</x:v>
      </x:c>
      <x:c r="R14" s="19" t="str">
        <x:v>LLM review</x:v>
      </x:c>
      <x:c r="S14" s="19" t="str">
        <x:v>Yes</x:v>
      </x:c>
      <x:c r="T14" s="19" t="str">
        <x:v>The brand is discovered through a tag/mention but is not clearly the subject of the caption.</x:v>
      </x:c>
      <x:c r="U14" s="29" t="str"/>
      <x:c r="V14" s="30" t="str"/>
    </x:row>
    <x:row r="15">
      <x:c r="A15" s="9" t="str">
        <x:v>Instagram</x:v>
      </x:c>
      <x:c r="B15" s="10" t="str">
        <x:v>IG mention</x:v>
      </x:c>
      <x:c r="C15" s="10" t="str">
        <x:v>3920875828674374747</x:v>
      </x:c>
      <x:c r="D15" s="16" t="n">
        <x:v>46189.657905092594</x:v>
      </x:c>
      <x:c r="E15" s="10" t="str">
        <x:v>202rice</x:v>
      </x:c>
      <x:c r="F15" s="10" t="str">
        <x:v>Sidecar</x:v>
      </x:c>
      <x:c r="G15" s="19" t="str">
        <x:v>da lake 🏞️ #roadtripping #summertimefine #deepcreek #hikingadventures #natureheals</x:v>
      </x:c>
      <x:c r="H15" s="19" t="str">
        <x:v>#roadtripping #summertimefine #deepcreek #hikingadventures #natureheals</x:v>
      </x:c>
      <x:c r="I15" s="19" t="str">
        <x:v>@oakley @americanapparel @iamgia @offoutdoors @bananaboatbrand @traderjoes @kikithebrand @bodybyraventracy</x:v>
      </x:c>
      <x:c r="J15" s="25" t="n">
        <x:v>9</x:v>
      </x:c>
      <x:c r="K15" s="25" t="n">
        <x:v>-1</x:v>
      </x:c>
      <x:c r="L15" s="25" t="n">
        <x:v>0</x:v>
      </x:c>
      <x:c r="M15" s="25" t="n">
        <x:v>0</x:v>
      </x:c>
      <x:c r="N15" s="19" t="str">
        <x:v>https://www.instagram.com/p/DZpv8rgjSxb/</x:v>
      </x:c>
      <x:c r="O15" s="19" t="str"/>
      <x:c r="P15" s="19" t="str">
        <x:v>Ambiguous / incidental</x:v>
      </x:c>
      <x:c r="Q15" s="19" t="str">
        <x:v>No</x:v>
      </x:c>
      <x:c r="R15" s="19" t="str">
        <x:v>LLM review</x:v>
      </x:c>
      <x:c r="S15" s="19" t="str">
        <x:v>Yes</x:v>
      </x:c>
      <x:c r="T15" s="19" t="str">
        <x:v>The brand is discovered through a tag/mention but is not clearly the subject of the caption.</x:v>
      </x:c>
      <x:c r="U15" s="29" t="str"/>
      <x:c r="V15" s="30" t="str"/>
    </x:row>
    <x:row r="16">
      <x:c r="A16" s="9" t="str">
        <x:v>Instagram</x:v>
      </x:c>
      <x:c r="B16" s="10" t="str">
        <x:v>IG mention</x:v>
      </x:c>
      <x:c r="C16" s="10" t="str">
        <x:v>3929931864971891539</x:v>
      </x:c>
      <x:c r="D16" s="16" t="n">
        <x:v>46202.15665509259</x:v>
      </x:c>
      <x:c r="E16" s="10" t="str">
        <x:v>__wendys2</x:v>
      </x:c>
      <x:c r="F16" s="10" t="str">
        <x:v>Video</x:v>
      </x:c>
      <x:c r="G16" s="19" t="str">
        <x:v>3ヶ月ベビーのGRWM⭐︎ ちょっとお出かけするのにも 準備にすっごく時間かかるけど、 それもまた愛おしいね🎶 最初にきていた短肌着は @markeys_official ♥️ 暑いので、最近の部屋着は短肌着のみのオムツマン笑 #grwm #3ヶ月ベビー #男の子 #こどもふく</x:v>
      </x:c>
      <x:c r="H16" s="19" t="str">
        <x:v>#grwm #3ヶ月ベビー #男の子 #こどもふく</x:v>
      </x:c>
      <x:c r="I16" s="19" t="str">
        <x:v>@markeys_official @americanapparel @greenday @stokkejapan @_madebynerd @lulumomo_official</x:v>
      </x:c>
      <x:c r="J16" s="25" t="n">
        <x:v>9</x:v>
      </x:c>
      <x:c r="K16" s="25" t="n">
        <x:v>297</x:v>
      </x:c>
      <x:c r="L16" s="25" t="n">
        <x:v>0</x:v>
      </x:c>
      <x:c r="M16" s="25" t="n">
        <x:v>0</x:v>
      </x:c>
      <x:c r="N16" s="19" t="str">
        <x:v>https://www.instagram.com/p/DaJ7DWjI1NT/</x:v>
      </x:c>
      <x:c r="O16" s="19" t="str"/>
      <x:c r="P16" s="19" t="str">
        <x:v>Ambiguous / incidental</x:v>
      </x:c>
      <x:c r="Q16" s="19" t="str">
        <x:v>No</x:v>
      </x:c>
      <x:c r="R16" s="19" t="str">
        <x:v>LLM review</x:v>
      </x:c>
      <x:c r="S16" s="19" t="str">
        <x:v>Yes</x:v>
      </x:c>
      <x:c r="T16" s="19" t="str">
        <x:v>The brand is discovered through a tag/mention but is not clearly the subject of the caption.</x:v>
      </x:c>
      <x:c r="U16" s="29" t="str"/>
      <x:c r="V16" s="30" t="str"/>
    </x:row>
    <x:row r="17">
      <x:c r="A17" s="9" t="str">
        <x:v>TikTok</x:v>
      </x:c>
      <x:c r="B17" s="10" t="str">
        <x:v>TikTok hashtag — validation</x:v>
      </x:c>
      <x:c r="C17" s="10" t="str">
        <x:v>7651670861321129238</x:v>
      </x:c>
      <x:c r="D17" s="16" t="n">
        <x:v>46188.7159375</x:v>
      </x:c>
      <x:c r="E17" s="10" t="str">
        <x:v>estare</x:v>
      </x:c>
      <x:c r="F17" s="10" t="str">
        <x:v>Video</x:v>
      </x:c>
      <x:c r="G17" s="19" t="str">
        <x:v>Also found my riding and disco pants! What a throwback, I’m still obsessed!! @Los Angeles Apparel 🤩😍👏🏾 #americanapparel #losangelesapparel #2000sthrowback #2000fashion</x:v>
      </x:c>
      <x:c r="H17" s="19" t="str">
        <x:v>#americanapparel #losangelesapparel #2000sthrowback #2000fashion</x:v>
      </x:c>
      <x:c r="I17" s="19" t="str"/>
      <x:c r="J17" s="25" t="n">
        <x:v>8</x:v>
      </x:c>
      <x:c r="K17" s="25" t="n">
        <x:v>185</x:v>
      </x:c>
      <x:c r="L17" s="25" t="n">
        <x:v>3328</x:v>
      </x:c>
      <x:c r="M17" s="25" t="n">
        <x:v>1</x:v>
      </x:c>
      <x:c r="N17" s="19" t="str">
        <x:v>https://www.tiktok.com/@estare/video/7651670861321129238</x:v>
      </x:c>
      <x:c r="O17" s="19" t="str">
        <x:v>Disco pants</x:v>
      </x:c>
      <x:c r="P17" s="19" t="str">
        <x:v>Likely relevant</x:v>
      </x:c>
      <x:c r="Q17" s="19" t="str">
        <x:v>Review — nostalgia/awareness adjacent</x:v>
      </x:c>
      <x:c r="R17" s="19" t="str">
        <x:v>Scrape comments</x:v>
      </x:c>
      <x:c r="S17" s="19" t="str">
        <x:v>Yes</x:v>
      </x:c>
      <x:c r="T17" s="19" t="str">
        <x:v>The post explicitly names/tags American Apparel or an identified AA product/style.</x:v>
      </x:c>
      <x:c r="U17" s="29" t="str"/>
      <x:c r="V17" s="30" t="str"/>
    </x:row>
    <x:row r="18">
      <x:c r="A18" s="9" t="str">
        <x:v>Instagram</x:v>
      </x:c>
      <x:c r="B18" s="10" t="str">
        <x:v>IG mention</x:v>
      </x:c>
      <x:c r="C18" s="10" t="str">
        <x:v>3926730456177344321</x:v>
      </x:c>
      <x:c r="D18" s="16" t="n">
        <x:v>46197.738171296296</x:v>
      </x:c>
      <x:c r="E18" s="10" t="str">
        <x:v>cayennemarketing</x:v>
      </x:c>
      <x:c r="F18" s="10" t="str">
        <x:v>Video</x:v>
      </x:c>
      <x:c r="G18" s="19" t="str">
        <x:v>We love our vendors and are so thankful to get to see the latest trends for our client’s industries! 📩DM or email us to see what’s trending in your industry! We can help you decide what’s worth it for your business! #marketing #promotionalproducts #branding #logo</x:v>
      </x:c>
      <x:c r="H18" s="19" t="str">
        <x:v>#marketing #promotionalproducts #branding #logo</x:v>
      </x:c>
      <x:c r="I18" s="19" t="str">
        <x:v>@jenniferskinnerlapierre @americanapparel @jowhitson @maciebillings @ssactivewear @spectorandco @sanmar_corp @mikelannricardo_</x:v>
      </x:c>
      <x:c r="J18" s="25" t="n">
        <x:v>8</x:v>
      </x:c>
      <x:c r="K18" s="25" t="n">
        <x:v>33</x:v>
      </x:c>
      <x:c r="L18" s="25" t="n">
        <x:v>0</x:v>
      </x:c>
      <x:c r="M18" s="25" t="n">
        <x:v>0</x:v>
      </x:c>
      <x:c r="N18" s="19" t="str">
        <x:v>https://www.instagram.com/p/DZ-jIuRKH9B/</x:v>
      </x:c>
      <x:c r="O18" s="19" t="str"/>
      <x:c r="P18" s="19" t="str">
        <x:v>Ambiguous / incidental</x:v>
      </x:c>
      <x:c r="Q18" s="19" t="str">
        <x:v>No</x:v>
      </x:c>
      <x:c r="R18" s="19" t="str">
        <x:v>LLM review</x:v>
      </x:c>
      <x:c r="S18" s="19" t="str">
        <x:v>Yes</x:v>
      </x:c>
      <x:c r="T18" s="19" t="str">
        <x:v>The brand is discovered through a tag/mention but is not clearly the subject of the caption.</x:v>
      </x:c>
      <x:c r="U18" s="29" t="str"/>
      <x:c r="V18" s="30" t="str"/>
    </x:row>
    <x:row r="19">
      <x:c r="A19" s="9" t="str">
        <x:v>Instagram</x:v>
      </x:c>
      <x:c r="B19" s="10" t="str">
        <x:v>IG mention</x:v>
      </x:c>
      <x:c r="C19" s="10" t="str">
        <x:v>3920158182136458919</x:v>
      </x:c>
      <x:c r="D19" s="16" t="n">
        <x:v>46188.66774305556</x:v>
      </x:c>
      <x:c r="E19" s="10" t="str">
        <x:v>michelleshenx</x:v>
      </x:c>
      <x:c r="F19" s="10" t="str">
        <x:v>Sidecar</x:v>
      </x:c>
      <x:c r="G19" s="19" t="str">
        <x:v>sporty chic</x:v>
      </x:c>
      <x:c r="H19" s="19" t="str"/>
      <x:c r="I19" s="19" t="str">
        <x:v>@americanapparel @frankiesbikinis @salomon @chanelofficial @apple @setactive @alo @salomonsportstyle</x:v>
      </x:c>
      <x:c r="J19" s="25" t="n">
        <x:v>5</x:v>
      </x:c>
      <x:c r="K19" s="25" t="n">
        <x:v>-1</x:v>
      </x:c>
      <x:c r="L19" s="25" t="n">
        <x:v>0</x:v>
      </x:c>
      <x:c r="M19" s="25" t="n">
        <x:v>0</x:v>
      </x:c>
      <x:c r="N19" s="19" t="str">
        <x:v>https://www.instagram.com/p/DZnMxjFla6n/</x:v>
      </x:c>
      <x:c r="O19" s="19" t="str"/>
      <x:c r="P19" s="19" t="str">
        <x:v>Ambiguous / incidental</x:v>
      </x:c>
      <x:c r="Q19" s="19" t="str">
        <x:v>No</x:v>
      </x:c>
      <x:c r="R19" s="19" t="str">
        <x:v>LLM review</x:v>
      </x:c>
      <x:c r="S19" s="19" t="str">
        <x:v>Yes</x:v>
      </x:c>
      <x:c r="T19" s="19" t="str">
        <x:v>The brand is discovered through a tag/mention but is not clearly the subject of the caption.</x:v>
      </x:c>
      <x:c r="U19" s="29" t="str"/>
      <x:c r="V19" s="30" t="str"/>
    </x:row>
    <x:row r="20">
      <x:c r="A20" s="9" t="str">
        <x:v>Instagram</x:v>
      </x:c>
      <x:c r="B20" s="10" t="str">
        <x:v>IG mention</x:v>
      </x:c>
      <x:c r="C20" s="10" t="str">
        <x:v>3920290005075474801</x:v>
      </x:c>
      <x:c r="D20" s="16" t="n">
        <x:v>46188.84962962963</x:v>
      </x:c>
      <x:c r="E20" s="10" t="str">
        <x:v>luminga16</x:v>
      </x:c>
      <x:c r="F20" s="10" t="str">
        <x:v>Sidecar</x:v>
      </x:c>
      <x:c r="G20" s="19" t="str">
        <x:v>4:00pm</x:v>
      </x:c>
      <x:c r="H20" s="19" t="str"/>
      <x:c r="I20" s="19" t="str">
        <x:v>@unheardofbrand @warbyparker @gap @complex @sneakernews @adidas @americanapparel @wdywt @casio_us @photoshop @ngadc @uniqlo @kodak @casiowatches_us @philip_lipschutz @onequince @prismlensfx @cinegrams @casiowatches_official</x:v>
      </x:c>
      <x:c r="J20" s="25" t="n">
        <x:v>5</x:v>
      </x:c>
      <x:c r="K20" s="25" t="n">
        <x:v>31</x:v>
      </x:c>
      <x:c r="L20" s="25" t="n">
        <x:v>0</x:v>
      </x:c>
      <x:c r="M20" s="25" t="n">
        <x:v>0</x:v>
      </x:c>
      <x:c r="N20" s="19" t="str">
        <x:v>https://www.instagram.com/p/DZnqv0xCblx/</x:v>
      </x:c>
      <x:c r="O20" s="19" t="str"/>
      <x:c r="P20" s="19" t="str">
        <x:v>Ambiguous / incidental</x:v>
      </x:c>
      <x:c r="Q20" s="19" t="str">
        <x:v>No</x:v>
      </x:c>
      <x:c r="R20" s="19" t="str">
        <x:v>LLM review</x:v>
      </x:c>
      <x:c r="S20" s="19" t="str">
        <x:v>Yes</x:v>
      </x:c>
      <x:c r="T20" s="19" t="str">
        <x:v>The brand is discovered through a tag/mention but is not clearly the subject of the caption.</x:v>
      </x:c>
      <x:c r="U20" s="29" t="str"/>
      <x:c r="V20" s="30" t="str"/>
    </x:row>
    <x:row r="21">
      <x:c r="A21" s="9" t="str">
        <x:v>Instagram</x:v>
      </x:c>
      <x:c r="B21" s="10" t="str">
        <x:v>IG mention</x:v>
      </x:c>
      <x:c r="C21" s="10" t="str">
        <x:v>3922635285381642056</x:v>
      </x:c>
      <x:c r="D21" s="16" t="n">
        <x:v>46192.085497685184</x:v>
      </x:c>
      <x:c r="E21" s="10" t="str">
        <x:v>itsjadenfox</x:v>
      </x:c>
      <x:c r="F21" s="10" t="str">
        <x:v>Sidecar</x:v>
      </x:c>
      <x:c r="G21" s="19" t="str">
        <x:v>everyone’s a star ⭐️ world tour!! ily @5sos</x:v>
      </x:c>
      <x:c r="H21" s="19" t="str"/>
      <x:c r="I21" s="19" t="str">
        <x:v>@5sos @forever21 @calumhood @thekiacenter @americanapparel @lukehemmings @michaelclifford @ashtonirwin @sheinofficial @camglansford @gooddyeyoung @shein_us</x:v>
      </x:c>
      <x:c r="J21" s="25" t="n">
        <x:v>5</x:v>
      </x:c>
      <x:c r="K21" s="25" t="n">
        <x:v>-1</x:v>
      </x:c>
      <x:c r="L21" s="25" t="n">
        <x:v>0</x:v>
      </x:c>
      <x:c r="M21" s="25" t="n">
        <x:v>0</x:v>
      </x:c>
      <x:c r="N21" s="19" t="str">
        <x:v>https://www.instagram.com/p/DZwAAJQlfdI/</x:v>
      </x:c>
      <x:c r="O21" s="19" t="str"/>
      <x:c r="P21" s="19" t="str">
        <x:v>Ambiguous / incidental</x:v>
      </x:c>
      <x:c r="Q21" s="19" t="str">
        <x:v>No</x:v>
      </x:c>
      <x:c r="R21" s="19" t="str">
        <x:v>LLM review</x:v>
      </x:c>
      <x:c r="S21" s="19" t="str">
        <x:v>Yes</x:v>
      </x:c>
      <x:c r="T21" s="19" t="str">
        <x:v>The brand is discovered through a tag/mention but is not clearly the subject of the caption.</x:v>
      </x:c>
      <x:c r="U21" s="29" t="str"/>
      <x:c r="V21" s="30" t="str"/>
    </x:row>
    <x:row r="22">
      <x:c r="A22" s="9" t="str">
        <x:v>Instagram</x:v>
      </x:c>
      <x:c r="B22" s="10" t="str">
        <x:v>IG mention</x:v>
      </x:c>
      <x:c r="C22" s="10" t="str">
        <x:v>3917496155214258204</x:v>
      </x:c>
      <x:c r="D22" s="16" t="n">
        <x:v>46184.99484953703</x:v>
      </x:c>
      <x:c r="E22" s="10" t="str">
        <x:v>jinswardrobe</x:v>
      </x:c>
      <x:c r="F22" s="10" t="str">
        <x:v>Sidecar</x:v>
      </x:c>
      <x:c r="G22" s="19" t="str">
        <x:v>260612 Fri (☀️ 14℃ / 28℃ 💚) Cap : Ryoo Glasses : 80's US Army Shirts : 80's Polo Ralph Lauren Pants : Our Legacy Shoes : J.M.Weston Watch : 70's Cartier Bag : My wife made it #mensfashion #vintage #vintagefashion</x:v>
      </x:c>
      <x:c r="H22" s="19" t="str">
        <x:v>#mensfashion #vintage #vintagefashion</x:v>
      </x:c>
      <x:c r="I22" s="19" t="str">
        <x:v>@americanapparel @ourlegacy @cartier @jmwestonofficial @poloralphlauren @the_odim @ryoo__official</x:v>
      </x:c>
      <x:c r="J22" s="25" t="n">
        <x:v>4</x:v>
      </x:c>
      <x:c r="K22" s="25" t="n">
        <x:v>175</x:v>
      </x:c>
      <x:c r="L22" s="25" t="n">
        <x:v>0</x:v>
      </x:c>
      <x:c r="M22" s="25" t="n">
        <x:v>0</x:v>
      </x:c>
      <x:c r="N22" s="19" t="str">
        <x:v>https://www.instagram.com/p/DZdvf9UgSAc/</x:v>
      </x:c>
      <x:c r="O22" s="19" t="str"/>
      <x:c r="P22" s="19" t="str">
        <x:v>Ambiguous / incidental</x:v>
      </x:c>
      <x:c r="Q22" s="19" t="str">
        <x:v>No</x:v>
      </x:c>
      <x:c r="R22" s="19" t="str">
        <x:v>LLM review</x:v>
      </x:c>
      <x:c r="S22" s="19" t="str">
        <x:v>Yes</x:v>
      </x:c>
      <x:c r="T22" s="19" t="str">
        <x:v>The brand is discovered through a tag/mention but is not clearly the subject of the caption.</x:v>
      </x:c>
      <x:c r="U22" s="29" t="str"/>
      <x:c r="V22" s="30" t="str"/>
    </x:row>
    <x:row r="23">
      <x:c r="A23" s="9" t="str">
        <x:v>Instagram</x:v>
      </x:c>
      <x:c r="B23" s="10" t="str">
        <x:v>IG mention</x:v>
      </x:c>
      <x:c r="C23" s="10" t="str">
        <x:v>3921571161976915930</x:v>
      </x:c>
      <x:c r="D23" s="16" t="n">
        <x:v>46190.61728009259</x:v>
      </x:c>
      <x:c r="E23" s="10" t="str">
        <x:v>toutconti</x:v>
      </x:c>
      <x:c r="F23" s="10" t="str">
        <x:v>Sidecar</x:v>
      </x:c>
      <x:c r="G23" s="19" t="str">
        <x:v>looking for some festival inspo ? a few of our favourite pieces now available at the usual spots 🏹 #misssixty #vinted #festivalfashion</x:v>
      </x:c>
      <x:c r="H23" s="19" t="str">
        <x:v>#misssixty #vinted #festivalfashion</x:v>
      </x:c>
      <x:c r="I23" s="19" t="str">
        <x:v>@desigual @americanapparel @pepejeans @misssixty @firetrap_london</x:v>
      </x:c>
      <x:c r="J23" s="25" t="n">
        <x:v>4</x:v>
      </x:c>
      <x:c r="K23" s="25" t="n">
        <x:v>12</x:v>
      </x:c>
      <x:c r="L23" s="25" t="n">
        <x:v>0</x:v>
      </x:c>
      <x:c r="M23" s="25" t="n">
        <x:v>0</x:v>
      </x:c>
      <x:c r="N23" s="19" t="str">
        <x:v>https://www.instagram.com/p/DZsODHHDMfa/</x:v>
      </x:c>
      <x:c r="O23" s="19" t="str"/>
      <x:c r="P23" s="19" t="str">
        <x:v>Ambiguous / incidental</x:v>
      </x:c>
      <x:c r="Q23" s="19" t="str">
        <x:v>No</x:v>
      </x:c>
      <x:c r="R23" s="19" t="str">
        <x:v>LLM review</x:v>
      </x:c>
      <x:c r="S23" s="19" t="str">
        <x:v>Yes</x:v>
      </x:c>
      <x:c r="T23" s="19" t="str">
        <x:v>The brand is discovered through a tag/mention but is not clearly the subject of the caption.</x:v>
      </x:c>
      <x:c r="U23" s="29" t="str"/>
      <x:c r="V23" s="30" t="str"/>
    </x:row>
    <x:row r="24">
      <x:c r="A24" s="9" t="str">
        <x:v>Instagram</x:v>
      </x:c>
      <x:c r="B24" s="10" t="str">
        <x:v>IG mention</x:v>
      </x:c>
      <x:c r="C24" s="10" t="str">
        <x:v>3924239614076703360</x:v>
      </x:c>
      <x:c r="D24" s="16" t="n">
        <x:v>46194.299050925925</x:v>
      </x:c>
      <x:c r="E24" s="10" t="str">
        <x:v>vixenchronicles</x:v>
      </x:c>
      <x:c r="F24" s="10" t="str">
        <x:v>Sidecar</x:v>
      </x:c>
      <x:c r="G24" s="19" t="str">
        <x:v>Memory Spread💵💵💵💵✨🌊🌀🤎🖤⛎✨💵💵💵💵</x:v>
      </x:c>
      <x:c r="H24" s="19" t="str"/>
      <x:c r="I24" s="19" t="str">
        <x:v>@americanapparel @cadeemlamarr @jayswann_ @1vayda @bbyafricka @ily2chino</x:v>
      </x:c>
      <x:c r="J24" s="25" t="n">
        <x:v>4</x:v>
      </x:c>
      <x:c r="K24" s="25" t="n">
        <x:v>129</x:v>
      </x:c>
      <x:c r="L24" s="25" t="n">
        <x:v>0</x:v>
      </x:c>
      <x:c r="M24" s="25" t="n">
        <x:v>0</x:v>
      </x:c>
      <x:c r="N24" s="19" t="str">
        <x:v>https://www.instagram.com/p/DZ1syMyjtKA/</x:v>
      </x:c>
      <x:c r="O24" s="19" t="str"/>
      <x:c r="P24" s="19" t="str">
        <x:v>Ambiguous / incidental</x:v>
      </x:c>
      <x:c r="Q24" s="19" t="str">
        <x:v>No</x:v>
      </x:c>
      <x:c r="R24" s="19" t="str">
        <x:v>LLM review</x:v>
      </x:c>
      <x:c r="S24" s="19" t="str">
        <x:v>Yes</x:v>
      </x:c>
      <x:c r="T24" s="19" t="str">
        <x:v>The brand is discovered through a tag/mention but is not clearly the subject of the caption.</x:v>
      </x:c>
      <x:c r="U24" s="29" t="str"/>
      <x:c r="V24" s="30" t="str"/>
    </x:row>
    <x:row r="25">
      <x:c r="A25" s="9" t="str">
        <x:v>Instagram</x:v>
      </x:c>
      <x:c r="B25" s="10" t="str">
        <x:v>IG mention</x:v>
      </x:c>
      <x:c r="C25" s="10" t="str">
        <x:v>3927686946549945575</x:v>
      </x:c>
      <x:c r="D25" s="16" t="n">
        <x:v>46199.05546296296</x:v>
      </x:c>
      <x:c r="E25" s="10" t="str">
        <x:v>styld.edit</x:v>
      </x:c>
      <x:c r="F25" s="10" t="str">
        <x:v>Sidecar</x:v>
      </x:c>
      <x:c r="G25" s="19" t="str">
        <x:v>4th of July Outfit Inspo 🇺🇸 #fourthofjulyoutfit #outfitinspiration #fashionﬁnds #virtualstylist #4thofjulyoutfit</x:v>
      </x:c>
      <x:c r="H25" s="19" t="str">
        <x:v>#fourthofjulyoutfit #outfitinspiration #fashionﬁnds #virtualstylist #4thofjulyoutfit</x:v>
      </x:c>
      <x:c r="I25" s="19" t="str">
        <x:v>@havaianas.us @ebdenim @dairyboy @garageclothing @ganni @emijayinc @americanapparel</x:v>
      </x:c>
      <x:c r="J25" s="25" t="n">
        <x:v>3</x:v>
      </x:c>
      <x:c r="K25" s="25" t="n">
        <x:v>11</x:v>
      </x:c>
      <x:c r="L25" s="25" t="n">
        <x:v>0</x:v>
      </x:c>
      <x:c r="M25" s="25" t="n">
        <x:v>0</x:v>
      </x:c>
      <x:c r="N25" s="19" t="str">
        <x:v>https://www.instagram.com/p/DaB8nfWDFTn/</x:v>
      </x:c>
      <x:c r="O25" s="19" t="str"/>
      <x:c r="P25" s="19" t="str">
        <x:v>Ambiguous / incidental</x:v>
      </x:c>
      <x:c r="Q25" s="19" t="str">
        <x:v>No</x:v>
      </x:c>
      <x:c r="R25" s="19" t="str">
        <x:v>LLM review</x:v>
      </x:c>
      <x:c r="S25" s="19" t="str">
        <x:v>Yes</x:v>
      </x:c>
      <x:c r="T25" s="19" t="str">
        <x:v>The brand is discovered through a tag/mention but is not clearly the subject of the caption.</x:v>
      </x:c>
      <x:c r="U25" s="29" t="str"/>
      <x:c r="V25" s="30" t="str"/>
    </x:row>
    <x:row r="26">
      <x:c r="A26" s="9" t="str">
        <x:v>TikTok</x:v>
      </x:c>
      <x:c r="B26" s="10" t="str">
        <x:v>TikTok hashtag — validation</x:v>
      </x:c>
      <x:c r="C26" s="10" t="str">
        <x:v>7648405692566523150</x:v>
      </x:c>
      <x:c r="D26" s="16" t="n">
        <x:v>46179.917175925926</x:v>
      </x:c>
      <x:c r="E26" s="10" t="str">
        <x:v>onlyoliviajasmine</x:v>
      </x:c>
      <x:c r="F26" s="10" t="str">
        <x:v>Video</x:v>
      </x:c>
      <x:c r="G26" s="19" t="str">
        <x:v>@Los Angeles Apparel #losangelesapparel #americanapparel #nostalgia #vibes #fyp</x:v>
      </x:c>
      <x:c r="H26" s="19" t="str">
        <x:v>#losangelesapparel #americanapparel #nostalgia #vibes #fyp</x:v>
      </x:c>
      <x:c r="I26" s="19" t="str"/>
      <x:c r="J26" s="25" t="n">
        <x:v>2</x:v>
      </x:c>
      <x:c r="K26" s="25" t="n">
        <x:v>144</x:v>
      </x:c>
      <x:c r="L26" s="25" t="n">
        <x:v>1710</x:v>
      </x:c>
      <x:c r="M26" s="25" t="n">
        <x:v>9</x:v>
      </x:c>
      <x:c r="N26" s="19" t="str">
        <x:v>https://www.tiktok.com/@onlyoliviajasmine/video/7648405692566523150</x:v>
      </x:c>
      <x:c r="O26" s="19" t="str"/>
      <x:c r="P26" s="19" t="str">
        <x:v>Likely relevant</x:v>
      </x:c>
      <x:c r="Q26" s="19" t="str">
        <x:v>Review — nostalgia/awareness adjacent</x:v>
      </x:c>
      <x:c r="R26" s="19" t="str">
        <x:v>Scrape comments</x:v>
      </x:c>
      <x:c r="S26" s="19" t="str">
        <x:v>Yes</x:v>
      </x:c>
      <x:c r="T26" s="19" t="str">
        <x:v>The post explicitly names/tags American Apparel or an identified AA product/style.</x:v>
      </x:c>
      <x:c r="U26" s="29" t="str"/>
      <x:c r="V26" s="30" t="str"/>
    </x:row>
    <x:row r="27">
      <x:c r="A27" s="9" t="str">
        <x:v>Instagram</x:v>
      </x:c>
      <x:c r="B27" s="10" t="str">
        <x:v>IG hashtag</x:v>
      </x:c>
      <x:c r="C27" s="10" t="str">
        <x:v>3922422499866343570</x:v>
      </x:c>
      <x:c r="D27" s="16" t="n">
        <x:v>46191.79690972222</x:v>
      </x:c>
      <x:c r="E27" s="10" t="str">
        <x:v>barbiepinkcatlady</x:v>
      </x:c>
      <x:c r="F27" s="10" t="str">
        <x:v>Image</x:v>
      </x:c>
      <x:c r="G27" s="19" t="str">
        <x:v>A blush pink throwback 💞 American Apparel was an iconic brand in the 2010s. I still have their lace dress and matching undergarments. The Betsey Johnson heels and clutch, too 💕 #Throwback #AmericanApparel #2010s #BaddestCatLady #Pink</x:v>
      </x:c>
      <x:c r="H27" s="19" t="str">
        <x:v>#Throwback #AmericanApparel #2010s #BaddestCatLady #Pink</x:v>
      </x:c>
      <x:c r="I27" s="19" t="str"/>
      <x:c r="J27" s="25" t="n">
        <x:v>2</x:v>
      </x:c>
      <x:c r="K27" s="25" t="n">
        <x:v>11</x:v>
      </x:c>
      <x:c r="L27" s="25" t="n">
        <x:v>0</x:v>
      </x:c>
      <x:c r="M27" s="25" t="n">
        <x:v>0</x:v>
      </x:c>
      <x:c r="N27" s="19" t="str">
        <x:v>https://www.instagram.com/p/DZvPntTiHiS/</x:v>
      </x:c>
      <x:c r="O27" s="19" t="str"/>
      <x:c r="P27" s="19" t="str">
        <x:v>Likely relevant</x:v>
      </x:c>
      <x:c r="Q27" s="19" t="str">
        <x:v>Review — nostalgia/awareness adjacent</x:v>
      </x:c>
      <x:c r="R27" s="19" t="str">
        <x:v>Scrape comments</x:v>
      </x:c>
      <x:c r="S27" s="19" t="str">
        <x:v>Yes</x:v>
      </x:c>
      <x:c r="T27" s="19" t="str">
        <x:v>The post explicitly names/tags American Apparel or an identified AA product/style.</x:v>
      </x:c>
      <x:c r="U27" s="29" t="str"/>
      <x:c r="V27" s="30" t="str"/>
    </x:row>
    <x:row r="28">
      <x:c r="A28" s="9" t="str">
        <x:v>Instagram</x:v>
      </x:c>
      <x:c r="B28" s="10" t="str">
        <x:v>IG mention</x:v>
      </x:c>
      <x:c r="C28" s="10" t="str">
        <x:v>3917716751127952426</x:v>
      </x:c>
      <x:c r="D28" s="16" t="n">
        <x:v>46185.299212962964</x:v>
      </x:c>
      <x:c r="E28" s="10" t="str">
        <x:v>center_village02</x:v>
      </x:c>
      <x:c r="F28" s="10" t="str">
        <x:v>Sidecar</x:v>
      </x:c>
      <x:c r="G28" s="19" t="str">
        <x:v>展示のお知らせ📢 6/16〜6/27 @crossoverkagurazaka にて TシャツPOPUPに参加します🔥 35名のアーティストによるTeeが カフェギャラリーに並びます👾👾👾 今回は5点出展します。すべて手描きです。 一点ずつ違う表情になってるので ぜひ見てもらえたら嬉しいです！ 在廊は 基本 木曜日、土曜日は出勤してます！ お時間合えばぜひお立ち寄りください😽 ⁡ .──────────── ⁡ Exhibition Announcement 📢 6/16 – 6/27 T-shirt POP-UP at @crossoverkagurazaka. 35 artists’ tees in a café gallery. I’ll show 5 hand-drawn pieces—each one unique. I’ll be there on Thursdays &amp; Saturdays. Feel free to stop by. ⁡ #tシャツ #tee #tshirt</x:v>
      </x:c>
      <x:c r="H28" s="19" t="str">
        <x:v>#tシャツ #tee #tshirt</x:v>
      </x:c>
      <x:c r="I28" s="19" t="str">
        <x:v>@crossoverkagurazaka @americanapparel @center_village02</x:v>
      </x:c>
      <x:c r="J28" s="25" t="n">
        <x:v>1</x:v>
      </x:c>
      <x:c r="K28" s="25" t="n">
        <x:v>-1</x:v>
      </x:c>
      <x:c r="L28" s="25" t="n">
        <x:v>0</x:v>
      </x:c>
      <x:c r="M28" s="25" t="n">
        <x:v>0</x:v>
      </x:c>
      <x:c r="N28" s="19" t="str">
        <x:v>https://www.instagram.com/p/DZehqDRlDwq/</x:v>
      </x:c>
      <x:c r="O28" s="19" t="str"/>
      <x:c r="P28" s="19" t="str">
        <x:v>Ambiguous / incidental</x:v>
      </x:c>
      <x:c r="Q28" s="19" t="str">
        <x:v>No</x:v>
      </x:c>
      <x:c r="R28" s="19" t="str">
        <x:v>LLM review</x:v>
      </x:c>
      <x:c r="S28" s="19" t="str">
        <x:v>Yes</x:v>
      </x:c>
      <x:c r="T28" s="19" t="str">
        <x:v>The brand is discovered through a tag/mention but is not clearly the subject of the caption.</x:v>
      </x:c>
      <x:c r="U28" s="29" t="str"/>
      <x:c r="V28" s="30" t="str"/>
    </x:row>
    <x:row r="29">
      <x:c r="A29" s="9" t="str">
        <x:v>Instagram</x:v>
      </x:c>
      <x:c r="B29" s="10" t="str">
        <x:v>IG hashtag</x:v>
      </x:c>
      <x:c r="C29" s="10" t="str">
        <x:v>3920087267119512919</x:v>
      </x:c>
      <x:c r="D29" s="16" t="n">
        <x:v>46188.56993055555</x:v>
      </x:c>
      <x:c r="E29" s="10" t="str">
        <x:v>selena_violet__</x:v>
      </x:c>
      <x:c r="F29" s="10" t="str">
        <x:v>Image</x:v>
      </x:c>
      <x:c r="G29" s="19" t="str">
        <x:v>My tie-dye thigh-highs ❤️🧡💛💚💙💜🖤</x:v>
      </x:c>
      <x:c r="H29" s="19" t="str"/>
      <x:c r="I29" s="19" t="str">
        <x:v>@fesoi_official</x:v>
      </x:c>
      <x:c r="J29" s="25" t="n">
        <x:v>1</x:v>
      </x:c>
      <x:c r="K29" s="25" t="n">
        <x:v>15</x:v>
      </x:c>
      <x:c r="L29" s="25" t="n">
        <x:v>0</x:v>
      </x:c>
      <x:c r="M29" s="25" t="n">
        <x:v>0</x:v>
      </x:c>
      <x:c r="N29" s="19" t="str">
        <x:v>https://www.instagram.com/p/DZm8pmVML1X/</x:v>
      </x:c>
      <x:c r="O29" s="19" t="str"/>
      <x:c r="P29" s="19" t="str">
        <x:v>Ambiguous / incidental</x:v>
      </x:c>
      <x:c r="Q29" s="19" t="str">
        <x:v>No</x:v>
      </x:c>
      <x:c r="R29" s="19" t="str">
        <x:v>LLM review</x:v>
      </x:c>
      <x:c r="S29" s="19" t="str">
        <x:v>Yes</x:v>
      </x:c>
      <x:c r="T29" s="19" t="str">
        <x:v>The brand is discovered through a tag/mention but is not clearly the subject of the caption.</x:v>
      </x:c>
      <x:c r="U29" s="29" t="str"/>
      <x:c r="V29" s="30" t="str"/>
    </x:row>
    <x:row r="30">
      <x:c r="A30" s="9" t="str">
        <x:v>Instagram</x:v>
      </x:c>
      <x:c r="B30" s="10" t="str">
        <x:v>IG mention</x:v>
      </x:c>
      <x:c r="C30" s="10" t="str">
        <x:v>3920906226215462720</x:v>
      </x:c>
      <x:c r="D30" s="16" t="n">
        <x:v>46189.70245370371</x:v>
      </x:c>
      <x:c r="E30" s="10" t="str">
        <x:v>amandabushman</x:v>
      </x:c>
      <x:c r="F30" s="10" t="str">
        <x:v>Video</x:v>
      </x:c>
      <x:c r="G30" s="19" t="str">
        <x:v>sticking to my local coffee shops next time😭😭 #coffee #mycoffeeorder #starbucks #bananalatte #coffeeorder</x:v>
      </x:c>
      <x:c r="H30" s="19" t="str">
        <x:v>#coffee #mycoffeeorder #starbucks #bananalatte #coffeeorder</x:v>
      </x:c>
      <x:c r="I30" s="19" t="str">
        <x:v>@americanapparel @mauijim @cartier @away</x:v>
      </x:c>
      <x:c r="J30" s="25" t="n">
        <x:v>1</x:v>
      </x:c>
      <x:c r="K30" s="25" t="n">
        <x:v>6</x:v>
      </x:c>
      <x:c r="L30" s="25" t="n">
        <x:v>0</x:v>
      </x:c>
      <x:c r="M30" s="25" t="n">
        <x:v>0</x:v>
      </x:c>
      <x:c r="N30" s="19" t="str">
        <x:v>https://www.instagram.com/p/DZp23BbMKdA/</x:v>
      </x:c>
      <x:c r="O30" s="19" t="str"/>
      <x:c r="P30" s="19" t="str">
        <x:v>Ambiguous / incidental</x:v>
      </x:c>
      <x:c r="Q30" s="19" t="str">
        <x:v>No</x:v>
      </x:c>
      <x:c r="R30" s="19" t="str">
        <x:v>LLM review</x:v>
      </x:c>
      <x:c r="S30" s="19" t="str">
        <x:v>Yes</x:v>
      </x:c>
      <x:c r="T30" s="19" t="str">
        <x:v>The brand is discovered through a tag/mention but is not clearly the subject of the caption.</x:v>
      </x:c>
      <x:c r="U30" s="29" t="str"/>
      <x:c r="V30" s="30" t="str"/>
    </x:row>
    <x:row r="31">
      <x:c r="A31" s="9" t="str">
        <x:v>Instagram</x:v>
      </x:c>
      <x:c r="B31" s="10" t="str">
        <x:v>IG mention</x:v>
      </x:c>
      <x:c r="C31" s="10" t="str">
        <x:v>3923808369743839599</x:v>
      </x:c>
      <x:c r="D31" s="16" t="n">
        <x:v>46193.70481481482</x:v>
      </x:c>
      <x:c r="E31" s="10" t="str">
        <x:v>allisonjacobsgildan</x:v>
      </x:c>
      <x:c r="F31" s="10" t="str">
        <x:v>Image</x:v>
      </x:c>
      <x:c r="G31" s="19" t="str">
        <x:v>Thank you to @denialprintco for bedazzling us the most fabulous shirts for the @ssactivewear event! They were such a hit!</x:v>
      </x:c>
      <x:c r="H31" s="19" t="str"/>
      <x:c r="I31" s="19" t="str">
        <x:v>@denialprintco @ssactivewear @americanapparel</x:v>
      </x:c>
      <x:c r="J31" s="25" t="n">
        <x:v>1</x:v>
      </x:c>
      <x:c r="K31" s="25" t="n">
        <x:v>37</x:v>
      </x:c>
      <x:c r="L31" s="25" t="n">
        <x:v>0</x:v>
      </x:c>
      <x:c r="M31" s="25" t="n">
        <x:v>0</x:v>
      </x:c>
      <x:c r="N31" s="19" t="str">
        <x:v>https://www.instagram.com/p/DZ0KuxNSUFv/</x:v>
      </x:c>
      <x:c r="O31" s="19" t="str"/>
      <x:c r="P31" s="19" t="str">
        <x:v>Ambiguous / incidental</x:v>
      </x:c>
      <x:c r="Q31" s="19" t="str">
        <x:v>No</x:v>
      </x:c>
      <x:c r="R31" s="19" t="str">
        <x:v>LLM review</x:v>
      </x:c>
      <x:c r="S31" s="19" t="str">
        <x:v>Yes</x:v>
      </x:c>
      <x:c r="T31" s="19" t="str">
        <x:v>The brand is discovered through a tag/mention but is not clearly the subject of the caption.</x:v>
      </x:c>
      <x:c r="U31" s="29" t="str"/>
      <x:c r="V31" s="30" t="str"/>
    </x:row>
    <x:row r="32">
      <x:c r="A32" s="9" t="str">
        <x:v>TikTok</x:v>
      </x:c>
      <x:c r="B32" s="10" t="str">
        <x:v>TikTok hashtag — validation</x:v>
      </x:c>
      <x:c r="C32" s="10" t="str">
        <x:v>7653524046814006550</x:v>
      </x:c>
      <x:c r="D32" s="16" t="n">
        <x:v>46193.70991898148</x:v>
      </x:c>
      <x:c r="E32" s="10" t="str">
        <x:v>moodboardpins3</x:v>
      </x:c>
      <x:c r="F32" s="10" t="str">
        <x:v>Video</x:v>
      </x:c>
      <x:c r="G32" s="19" t="str">
        <x:v>American apparel Little controversial 👀 But....it was pretty cool how the brand weren't afraid to be unapologetically 'normal' &amp; 'sensual'- not conforming to the beauty standards of the time. #americanapparel #2010snostalgia #moodboardaesthetic #fashionstore #fashionbrand</x:v>
      </x:c>
      <x:c r="H32" s="19" t="str">
        <x:v>#americanapparel #2010snostalgia #moodboardaesthetic #fashionstore #fashionbrand</x:v>
      </x:c>
      <x:c r="I32" s="19" t="str"/>
      <x:c r="J32" s="25" t="n">
        <x:v>0</x:v>
      </x:c>
      <x:c r="K32" s="25" t="n">
        <x:v>91</x:v>
      </x:c>
      <x:c r="L32" s="25" t="n">
        <x:v>1646</x:v>
      </x:c>
      <x:c r="M32" s="25" t="n">
        <x:v>13</x:v>
      </x:c>
      <x:c r="N32" s="19" t="str">
        <x:v>https://www.tiktok.com/@moodboardpins3/video/7653524046814006550</x:v>
      </x:c>
      <x:c r="O32" s="19" t="str"/>
      <x:c r="P32" s="19" t="str">
        <x:v>Likely relevant</x:v>
      </x:c>
      <x:c r="Q32" s="19" t="str">
        <x:v>Review — nostalgia/awareness adjacent</x:v>
      </x:c>
      <x:c r="R32" s="19" t="str">
        <x:v>Keep post; no comments</x:v>
      </x:c>
      <x:c r="S32" s="19" t="str">
        <x:v>Yes</x:v>
      </x:c>
      <x:c r="T32" s="19" t="str">
        <x:v>The post explicitly names/tags American Apparel or an identified AA product/style.</x:v>
      </x:c>
      <x:c r="U32" s="29" t="str"/>
      <x:c r="V32" s="30" t="str"/>
    </x:row>
    <x:row r="33">
      <x:c r="A33" s="12" t="str">
        <x:v>TikTok</x:v>
      </x:c>
      <x:c r="B33" s="13" t="str">
        <x:v>TikTok hashtag — validation</x:v>
      </x:c>
      <x:c r="C33" s="13" t="str">
        <x:v>7654960588744953119</x:v>
      </x:c>
      <x:c r="D33" s="17" t="n">
        <x:v>46197.58118055556</x:v>
      </x:c>
      <x:c r="E33" s="13" t="str">
        <x:v>losangelesornewyorkcity</x:v>
      </x:c>
      <x:c r="F33" s="13" t="str">
        <x:v>Video</x:v>
      </x:c>
      <x:c r="G33" s="20" t="str">
        <x:v>make american apparel great again #americanapparel #tumblraesthetic #moodboard #2000s</x:v>
      </x:c>
      <x:c r="H33" s="20" t="str">
        <x:v>#americanapparel #tumblraesthetic #moodboard #2000s</x:v>
      </x:c>
      <x:c r="I33" s="20" t="str"/>
      <x:c r="J33" s="26" t="n">
        <x:v>0</x:v>
      </x:c>
      <x:c r="K33" s="26" t="n">
        <x:v>292</x:v>
      </x:c>
      <x:c r="L33" s="26" t="n">
        <x:v>1765</x:v>
      </x:c>
      <x:c r="M33" s="26" t="n">
        <x:v>1</x:v>
      </x:c>
      <x:c r="N33" s="20" t="str">
        <x:v>https://www.tiktok.com/@losangelesornewyorkcity/video/7654960588744953119</x:v>
      </x:c>
      <x:c r="O33" s="20" t="str"/>
      <x:c r="P33" s="20" t="str">
        <x:v>Likely relevant</x:v>
      </x:c>
      <x:c r="Q33" s="20" t="str">
        <x:v>Yes — explicit revival/dead/awareness language</x:v>
      </x:c>
      <x:c r="R33" s="20" t="str">
        <x:v>Keep post; no comments</x:v>
      </x:c>
      <x:c r="S33" s="20" t="str">
        <x:v>Yes</x:v>
      </x:c>
      <x:c r="T33" s="20" t="str">
        <x:v>The post explicitly names/tags American Apparel or an identified AA product/style.</x:v>
      </x:c>
      <x:c r="U33" s="31" t="str"/>
      <x:c r="V33" s="32" t="str"/>
    </x:row>
  </x:sheetData>
  <x:conditionalFormatting sqref="P2:P33">
    <x:cfRule type="containsText" dxfId="10" priority="1" operator="containsText" text="Likely relevant"/>
    <x:cfRule type="containsText" dxfId="11" priority="2" operator="containsText" text="Ambiguous"/>
    <x:cfRule type="containsText" dxfId="12" priority="3" operator="containsText" text="Giveaway"/>
    <x:cfRule type="containsText" dxfId="13" priority="4" operator="containsText" text="Design-sale"/>
  </x:conditionalFormatting>
  <x:conditionalFormatting sqref="S2:S33">
    <x:cfRule type="containsText" dxfId="14" priority="5" operator="containsText" text="Yes"/>
  </x:conditionalFormatting>
  <x:dataValidations count="1">
    <x:dataValidation type="list" sqref="U2:U33">
      <x:formula1>"Scrape,Skip,Separate,Need human review"</x:formula1>
    </x:dataValidation>
  </x:dataValidations>
  <x:pageMargins left="0.7" right="0.7" top="0.75" bottom="0.75" header="0.3" footer="0.3"/>
  <x:tableParts count="1">
    <x:tablePart xmlns:r="http://schemas.openxmlformats.org/officeDocument/2006/relationships" r:id="R8737427393b8456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20" hidden="0" customWidth="1"/>
    <x:col min="4" max="4" width="13" hidden="0" customWidth="1"/>
    <x:col min="5" max="5" width="18" hidden="0" customWidth="1"/>
    <x:col min="6" max="6" width="12" hidden="0" customWidth="1"/>
    <x:col min="7" max="7" width="54" hidden="0" customWidth="1"/>
    <x:col min="8" max="8" width="35" hidden="0" customWidth="1"/>
    <x:col min="9" max="9" width="28" hidden="0" customWidth="1"/>
    <x:col min="10" max="10" width="11" hidden="0" customWidth="1"/>
    <x:col min="11" max="11" width="11" hidden="0" customWidth="1"/>
    <x:col min="12" max="12" width="12" hidden="0" customWidth="1"/>
    <x:col min="13" max="13" width="10" hidden="0" customWidth="1"/>
    <x:col min="14" max="14" width="46" hidden="0" customWidth="1"/>
    <x:col min="15" max="15" width="18" hidden="0" customWidth="1"/>
    <x:col min="16" max="16" width="23" hidden="0" customWidth="1"/>
    <x:col min="17" max="17" width="30" hidden="0" customWidth="1"/>
    <x:col min="18" max="18" width="23" hidden="0" customWidth="1"/>
    <x:col min="19" max="19" width="12" hidden="0" customWidth="1"/>
    <x:col min="20" max="20" width="50" hidden="0" customWidth="1"/>
  </x:cols>
  <x:sheetData>
    <x:row r="1" ht="34" customHeight="1">
      <x:c r="A1" s="4" t="str">
        <x:v>Platform</x:v>
      </x:c>
      <x:c r="B1" s="4" t="str">
        <x:v>Discovery Source</x:v>
      </x:c>
      <x:c r="C1" s="4" t="str">
        <x:v>Post ID</x:v>
      </x:c>
      <x:c r="D1" s="4" t="str">
        <x:v>Published Date</x:v>
      </x:c>
      <x:c r="E1" s="4" t="str">
        <x:v>Author</x:v>
      </x:c>
      <x:c r="F1" s="4" t="str">
        <x:v>Content Type</x:v>
      </x:c>
      <x:c r="G1" s="4" t="str">
        <x:v>Post Text</x:v>
      </x:c>
      <x:c r="H1" s="4" t="str">
        <x:v>Hashtags</x:v>
      </x:c>
      <x:c r="I1" s="4" t="str">
        <x:v>Mentions / Tagged</x:v>
      </x:c>
      <x:c r="J1" s="4" t="str">
        <x:v>Comments</x:v>
      </x:c>
      <x:c r="K1" s="4" t="str">
        <x:v>Likes</x:v>
      </x:c>
      <x:c r="L1" s="4" t="str">
        <x:v>Plays</x:v>
      </x:c>
      <x:c r="M1" s="4" t="str">
        <x:v>Shares</x:v>
      </x:c>
      <x:c r="N1" s="4" t="str">
        <x:v>Source URL</x:v>
      </x:c>
      <x:c r="O1" s="4" t="str">
        <x:v>Style Signals</x:v>
      </x:c>
      <x:c r="P1" s="4" t="str">
        <x:v>Preliminary Bucket</x:v>
      </x:c>
      <x:c r="Q1" s="4" t="str">
        <x:v>Target Signal Candidate</x:v>
      </x:c>
      <x:c r="R1" s="4" t="str">
        <x:v>Gate Decision</x:v>
      </x:c>
      <x:c r="S1" s="4" t="str">
        <x:v>LLM Review?</x:v>
      </x:c>
      <x:c r="T1" s="4" t="str">
        <x:v>Gate Reason</x:v>
      </x:c>
    </x:row>
    <x:row r="2">
      <x:c r="A2" s="6" t="str">
        <x:v>Instagram</x:v>
      </x:c>
      <x:c r="B2" s="7" t="str">
        <x:v>IG hashtag</x:v>
      </x:c>
      <x:c r="C2" s="7" t="str">
        <x:v>3921818661715907780</x:v>
      </x:c>
      <x:c r="D2" s="15" t="n">
        <x:v>46190.958819444444</x:v>
      </x:c>
      <x:c r="E2" s="7" t="str">
        <x:v>palaistheatre</x:v>
      </x:c>
      <x:c r="F2" s="7" t="str">
        <x:v>Sidecar</x:v>
      </x:c>
      <x:c r="G2" s="18" t="str">
        <x:v>⭐ 𝗪𝗜𝗡 𝗧𝗛𝗘 𝗚𝗢𝗟𝗗𝗘𝗡 𝗧𝗜𝗖𝗞𝗘𝗧 𝗔𝗧 𝗣𝗔𝗟𝗔𝗜𝗦 𝗧𝗛𝗘𝗔𝗧𝗥𝗘 ⭐⁠ ⁠ Thanks to American Apparel, one lucky winner will score 10x double passes to shows of their choice at Palais Theatre over the next 12 months 🎟️⁠ ⁠ To enter:⁠ 👉 Follow @americanapparelanz and @palaistheatre⁠ ❤️ Like this post⁠ 👯 Tag your +1⁠ ⁠ ➡️ Swipe for details to win ➡️ ⁠ Good luck 🤞 *T&amp;Cs apply ⁠ Entries close 11:59PM Tuesday 23 June https://www.palaistheatre.com.au/competitions ~⁠ #giveaway #win #goldenticket #palaistheatre #americanapparel #melbourneevents #seeitlive #nightoutmelbourne</x:v>
      </x:c>
      <x:c r="H2" s="18" t="str">
        <x:v>#giveaway #win #goldenticket #palaistheatre #americanapparel #melbourneevents #seeitlive #nightoutmelbourne</x:v>
      </x:c>
      <x:c r="I2" s="18" t="str">
        <x:v>@americanapparelanz @palaistheatre</x:v>
      </x:c>
      <x:c r="J2" s="24" t="n">
        <x:v>1347</x:v>
      </x:c>
      <x:c r="K2" s="24" t="n">
        <x:v>640</x:v>
      </x:c>
      <x:c r="L2" s="24" t="n">
        <x:v>0</x:v>
      </x:c>
      <x:c r="M2" s="24" t="n">
        <x:v>0</x:v>
      </x:c>
      <x:c r="N2" s="18" t="str">
        <x:v>https://www.instagram.com/p/DZtGUtNExTE/</x:v>
      </x:c>
      <x:c r="O2" s="18" t="str"/>
      <x:c r="P2" s="18" t="str">
        <x:v>Giveaway / promotion</x:v>
      </x:c>
      <x:c r="Q2" s="18" t="str">
        <x:v>No</x:v>
      </x:c>
      <x:c r="R2" s="18" t="str">
        <x:v>Separate from organic</x:v>
      </x:c>
      <x:c r="S2" s="18" t="str">
        <x:v>No</x:v>
      </x:c>
      <x:c r="T2" s="21" t="str">
        <x:v>High comment volume is driven by entry mechanics and must be separated from organic perception.</x:v>
      </x:c>
    </x:row>
    <x:row r="3">
      <x:c r="A3" s="9" t="str">
        <x:v>Instagram</x:v>
      </x:c>
      <x:c r="B3" s="10" t="str">
        <x:v>IG hashtag</x:v>
      </x:c>
      <x:c r="C3" s="10" t="str">
        <x:v>3921818657085932633</x:v>
      </x:c>
      <x:c r="D3" s="16" t="n">
        <x:v>46190.95880787037</x:v>
      </x:c>
      <x:c r="E3" s="10" t="str">
        <x:v>festivalhallmelbourne</x:v>
      </x:c>
      <x:c r="F3" s="10" t="str">
        <x:v>Sidecar</x:v>
      </x:c>
      <x:c r="G3" s="19" t="str">
        <x:v>⭐ 𝗪𝗜𝗡 𝗧𝗛𝗘 𝗚𝗢𝗟𝗗𝗘𝗡 𝗧𝗜𝗖𝗞𝗘𝗧 𝗔𝗧 𝗙𝗘𝗦𝗧𝗜𝗩𝗔𝗟 𝗛𝗔𝗟𝗟 ⭐⁠ ⁠ Thanks to American Apparel, one lucky winner will score 10x double passes to shows of their choice at Festival Hall over the next 12 months 🎟️⁠ ⁠ To enter:⁠ 👉 Follow @americanapparelanz and @festivalhallmelbourne⁠ ❤️ Like the Instagram post⁠ 👯 Tag your +1⁠ ⁠ ➡️ Swipe for details to win ➡️ ⁠ Good luck 🤞 *T&amp;Cs apply ⁠ Entries close 11:59PM Tuesday 23 June http://festivalhall.com.au/competitions ~⁠ #giveaway #win #goldenticket #festivalhall #americanapparel #melbourneevents #seeitlive #nightoutmelbourne</x:v>
      </x:c>
      <x:c r="H3" s="19" t="str">
        <x:v>#giveaway #win #goldenticket #festivalhall #americanapparel #melbourneevents #seeitlive #nightoutmelbourne</x:v>
      </x:c>
      <x:c r="I3" s="19" t="str">
        <x:v>@americanapparelanz @festivalhallmelbourne</x:v>
      </x:c>
      <x:c r="J3" s="25" t="n">
        <x:v>479</x:v>
      </x:c>
      <x:c r="K3" s="25" t="n">
        <x:v>278</x:v>
      </x:c>
      <x:c r="L3" s="25" t="n">
        <x:v>0</x:v>
      </x:c>
      <x:c r="M3" s="25" t="n">
        <x:v>0</x:v>
      </x:c>
      <x:c r="N3" s="19" t="str">
        <x:v>https://www.instagram.com/p/DZtGUo5G0RZ/</x:v>
      </x:c>
      <x:c r="O3" s="19" t="str"/>
      <x:c r="P3" s="19" t="str">
        <x:v>Giveaway / promotion</x:v>
      </x:c>
      <x:c r="Q3" s="19" t="str">
        <x:v>No</x:v>
      </x:c>
      <x:c r="R3" s="19" t="str">
        <x:v>Separate from organic</x:v>
      </x:c>
      <x:c r="S3" s="19" t="str">
        <x:v>No</x:v>
      </x:c>
      <x:c r="T3" s="22" t="str">
        <x:v>High comment volume is driven by entry mechanics and must be separated from organic perception.</x:v>
      </x:c>
    </x:row>
    <x:row r="4">
      <x:c r="A4" s="9" t="str">
        <x:v>Instagram</x:v>
      </x:c>
      <x:c r="B4" s="10" t="str">
        <x:v>IG hashtag</x:v>
      </x:c>
      <x:c r="C4" s="10" t="str">
        <x:v>3929485437211615002</x:v>
      </x:c>
      <x:c r="D4" s="16" t="n">
        <x:v>46201.53690972222</x:v>
      </x:c>
      <x:c r="E4" s="10" t="str">
        <x:v>avart.std</x:v>
      </x:c>
      <x:c r="F4" s="10" t="str">
        <x:v>Sidecar</x:v>
      </x:c>
      <x:c r="G4" s="19" t="str">
        <x:v>DESIGN FOR SALE!! SPECIAL COLLABORATION ( @avart.std x @wfs.std x @vestle.dsg ) DESIGN: SLIDE 2 : DM ( @avart.std ) SLIDE 3 : DM ( @wfs.std ) SLIDE 3 : DM ( @vestle.dsg ) INCLUDED FILES: • PSD (SOURCE FILE), PNG (PREVIEW MOCKUP), AND MOCKUP FOR FREE. • TEXT &amp; COLORS CAN BE CHANGED. DM FOR PRICE &amp; INFORMATION ❕ #designforsale #streetwearbrand #tshirtdesign #brandowner #streetwearusa</x:v>
      </x:c>
      <x:c r="H4" s="19" t="str">
        <x:v>#designforsale #streetwearbrand #tshirtdesign #brandowner #streetwearusa</x:v>
      </x:c>
      <x:c r="I4" s="19" t="str">
        <x:v>@avart.std @wfs.std @vestle.dsg @pappiiq @thegvgallery @hmddla_ @palyhollywood</x:v>
      </x:c>
      <x:c r="J4" s="25" t="n">
        <x:v>15</x:v>
      </x:c>
      <x:c r="K4" s="25" t="n">
        <x:v>25</x:v>
      </x:c>
      <x:c r="L4" s="25" t="n">
        <x:v>0</x:v>
      </x:c>
      <x:c r="M4" s="25" t="n">
        <x:v>0</x:v>
      </x:c>
      <x:c r="N4" s="19" t="str">
        <x:v>https://www.instagram.com/p/DaIVi-TEZ8a/</x:v>
      </x:c>
      <x:c r="O4" s="19" t="str"/>
      <x:c r="P4" s="19" t="str">
        <x:v>Design-sale noise</x:v>
      </x:c>
      <x:c r="Q4" s="19" t="str">
        <x:v>No</x:v>
      </x:c>
      <x:c r="R4" s="19" t="str">
        <x:v>Skip</x:v>
      </x:c>
      <x:c r="S4" s="19" t="str">
        <x:v>No</x:v>
      </x:c>
      <x:c r="T4" s="22" t="str">
        <x:v>Design/mockup sale language; not consumer discussion of American Apparel.</x:v>
      </x:c>
    </x:row>
    <x:row r="5">
      <x:c r="A5" s="9" t="str">
        <x:v>Instagram</x:v>
      </x:c>
      <x:c r="B5" s="10" t="str">
        <x:v>IG hashtag</x:v>
      </x:c>
      <x:c r="C5" s="10" t="str">
        <x:v>3920453831814120238</x:v>
      </x:c>
      <x:c r="D5" s="16" t="n">
        <x:v>46189.07565972222</x:v>
      </x:c>
      <x:c r="E5" s="10" t="str">
        <x:v>avart.std</x:v>
      </x:c>
      <x:c r="F5" s="10" t="str">
        <x:v>Sidecar</x:v>
      </x:c>
      <x:c r="G5" s="19" t="str">
        <x:v>Design for sale!! special Collaboration ( @avart.std x @wfs.std ) Design: Slide 2 : Tshirt SOLD✅ and Shorpants Available ( @avart.std ) Slide 3 : DM ( @wfs.std ) Included files : Included files : •Psd (source file) , Png (preview mockup) and mockup for free. •Text &amp; colors can be changed. Dm for price &amp; Information ❕ #designforsale #americanapparel #usacollections #brandowner#streetwearbrand</x:v>
      </x:c>
      <x:c r="H5" s="19" t="str">
        <x:v>#designforsale #americanapparel #usacollections #brandowner #streetwearbrand</x:v>
      </x:c>
      <x:c r="I5" s="19" t="str">
        <x:v>@avart.std @wfs.std @enfantsrichesdeprimes @palyhollywood</x:v>
      </x:c>
      <x:c r="J5" s="25" t="n">
        <x:v>14</x:v>
      </x:c>
      <x:c r="K5" s="25" t="n">
        <x:v>38</x:v>
      </x:c>
      <x:c r="L5" s="25" t="n">
        <x:v>0</x:v>
      </x:c>
      <x:c r="M5" s="25" t="n">
        <x:v>0</x:v>
      </x:c>
      <x:c r="N5" s="19" t="str">
        <x:v>https://www.instagram.com/p/DZoP_0TmYMu/</x:v>
      </x:c>
      <x:c r="O5" s="19" t="str"/>
      <x:c r="P5" s="19" t="str">
        <x:v>Design-sale noise</x:v>
      </x:c>
      <x:c r="Q5" s="19" t="str">
        <x:v>No</x:v>
      </x:c>
      <x:c r="R5" s="19" t="str">
        <x:v>Skip</x:v>
      </x:c>
      <x:c r="S5" s="19" t="str">
        <x:v>No</x:v>
      </x:c>
      <x:c r="T5" s="22" t="str">
        <x:v>Design/mockup sale language; not consumer discussion of American Apparel.</x:v>
      </x:c>
    </x:row>
    <x:row r="6">
      <x:c r="A6" s="9" t="str">
        <x:v>Instagram</x:v>
      </x:c>
      <x:c r="B6" s="10" t="str">
        <x:v>IG hashtag</x:v>
      </x:c>
      <x:c r="C6" s="10" t="str">
        <x:v>3930207603674701669</x:v>
      </x:c>
      <x:c r="D6" s="16" t="n">
        <x:v>46202.53329861111</x:v>
      </x:c>
      <x:c r="E6" s="10" t="str">
        <x:v>avart.std</x:v>
      </x:c>
      <x:c r="F6" s="10" t="str">
        <x:v>Sidecar</x:v>
      </x:c>
      <x:c r="G6" s="19" t="str">
        <x:v>DESIGN FOR SALE!! ( CONCEPT @valelives ) CODE : 116 JEANS BOOKED🔒 INCLUDED FILES : • PSD (SOURCE FILE), PNG (PREVIEW MOCKUP) AND MOCKUP FOR FREE. • TEXT &amp; COLORS CAN BE CHANGED. DM FOR PRICE &amp; INFORMATION ❕ #designforsale #streetwearbrand #tshirtdesign #vintagedesign #streetwearstyle</x:v>
      </x:c>
      <x:c r="H6" s="19" t="str">
        <x:v>#designforsale #streetwearbrand #tshirtdesign #vintagedesign #streetwearstyle</x:v>
      </x:c>
      <x:c r="I6" s="19" t="str">
        <x:v>@valelives @pappiiq @ishowspeed @thegvgallery @us.kozy @hmddla_</x:v>
      </x:c>
      <x:c r="J6" s="25" t="n">
        <x:v>12</x:v>
      </x:c>
      <x:c r="K6" s="25" t="n">
        <x:v>21</x:v>
      </x:c>
      <x:c r="L6" s="25" t="n">
        <x:v>0</x:v>
      </x:c>
      <x:c r="M6" s="25" t="n">
        <x:v>0</x:v>
      </x:c>
      <x:c r="N6" s="19" t="str">
        <x:v>https://www.instagram.com/p/DaK5v4Okd9l/</x:v>
      </x:c>
      <x:c r="O6" s="19" t="str"/>
      <x:c r="P6" s="19" t="str">
        <x:v>Design-sale noise</x:v>
      </x:c>
      <x:c r="Q6" s="19" t="str">
        <x:v>No</x:v>
      </x:c>
      <x:c r="R6" s="19" t="str">
        <x:v>Skip</x:v>
      </x:c>
      <x:c r="S6" s="19" t="str">
        <x:v>No</x:v>
      </x:c>
      <x:c r="T6" s="22" t="str">
        <x:v>Design/mockup sale language; not consumer discussion of American Apparel.</x:v>
      </x:c>
    </x:row>
    <x:row r="7">
      <x:c r="A7" s="9" t="str">
        <x:v>Instagram</x:v>
      </x:c>
      <x:c r="B7" s="10" t="str">
        <x:v>IG hashtag</x:v>
      </x:c>
      <x:c r="C7" s="10" t="str">
        <x:v>3922224871040978505</x:v>
      </x:c>
      <x:c r="D7" s="16" t="n">
        <x:v>46191.51923611111</x:v>
      </x:c>
      <x:c r="E7" s="10" t="str">
        <x:v>avart.std</x:v>
      </x:c>
      <x:c r="F7" s="10" t="str">
        <x:v>Sidecar</x:v>
      </x:c>
      <x:c r="G7" s="19" t="str">
        <x:v>DESIGN FOR SALE!! ( CONCEPT @valelives ) CODE : 111 ….. INCLUDED FILES : • PSD (SOURCE FILE), PNG (PREVIEW MOCKUP) AND MOCKUP FOR FREE. • TEXT &amp; COLORS CAN BE CHANGED. DM FOR PRICE &amp; INFORMATION ❕ #designforsale #americanapparel #usacollections #brandowner #streetwearbrand</x:v>
      </x:c>
      <x:c r="H7" s="19" t="str">
        <x:v>#designforsale #americanapparel #usacollections #brandowner #streetwearbrand</x:v>
      </x:c>
      <x:c r="I7" s="19" t="str">
        <x:v>@valelives @pappiiq @ishowspeed @greedyunit @us.kozy @hmddla_</x:v>
      </x:c>
      <x:c r="J7" s="25" t="n">
        <x:v>10</x:v>
      </x:c>
      <x:c r="K7" s="25" t="n">
        <x:v>22</x:v>
      </x:c>
      <x:c r="L7" s="25" t="n">
        <x:v>0</x:v>
      </x:c>
      <x:c r="M7" s="25" t="n">
        <x:v>0</x:v>
      </x:c>
      <x:c r="N7" s="19" t="str">
        <x:v>https://www.instagram.com/p/DZuir1HmY5J/</x:v>
      </x:c>
      <x:c r="O7" s="19" t="str"/>
      <x:c r="P7" s="19" t="str">
        <x:v>Design-sale noise</x:v>
      </x:c>
      <x:c r="Q7" s="19" t="str">
        <x:v>No</x:v>
      </x:c>
      <x:c r="R7" s="19" t="str">
        <x:v>Skip</x:v>
      </x:c>
      <x:c r="S7" s="19" t="str">
        <x:v>No</x:v>
      </x:c>
      <x:c r="T7" s="22" t="str">
        <x:v>Design/mockup sale language; not consumer discussion of American Apparel.</x:v>
      </x:c>
    </x:row>
    <x:row r="8">
      <x:c r="A8" s="9" t="str">
        <x:v>Instagram</x:v>
      </x:c>
      <x:c r="B8" s="10" t="str">
        <x:v>IG hashtag</x:v>
      </x:c>
      <x:c r="C8" s="10" t="str">
        <x:v>3927283916155762003</x:v>
      </x:c>
      <x:c r="D8" s="16" t="n">
        <x:v>46198.499386574076</x:v>
      </x:c>
      <x:c r="E8" s="10" t="str">
        <x:v>avart.std</x:v>
      </x:c>
      <x:c r="F8" s="10" t="str">
        <x:v>Sidecar</x:v>
      </x:c>
      <x:c r="G8" s="19" t="str">
        <x:v>DESIGN FOR SALE!! ( CONCEPT @hmddla_ ) CODE : 114 PANTS SOLD✅ INCLUDED FILES : • PSD (SOURCE FILE), PNG (PREVIEW MOCKUP) AND MOCKUP FOR FREE. • TEXT &amp; COLORS CAN BE CHANGED. DM FOR PRICE &amp; INFORMATION ❕ #designforsale #americanapparel #usacollections #brandowner #streetwear</x:v>
      </x:c>
      <x:c r="H8" s="19" t="str">
        <x:v>#designforsale #americanapparel #usacollections #brandowner #streetwear</x:v>
      </x:c>
      <x:c r="I8" s="19" t="str">
        <x:v>@hmddla_ @pappiiq @thegvgallery @greedyunit @caprrice @us.kozy @caprii</x:v>
      </x:c>
      <x:c r="J8" s="25" t="n">
        <x:v>10</x:v>
      </x:c>
      <x:c r="K8" s="25" t="n">
        <x:v>27</x:v>
      </x:c>
      <x:c r="L8" s="25" t="n">
        <x:v>0</x:v>
      </x:c>
      <x:c r="M8" s="25" t="n">
        <x:v>0</x:v>
      </x:c>
      <x:c r="N8" s="19" t="str">
        <x:v>https://www.instagram.com/p/DaAg-oCkbVT/</x:v>
      </x:c>
      <x:c r="O8" s="19" t="str"/>
      <x:c r="P8" s="19" t="str">
        <x:v>Design-sale noise</x:v>
      </x:c>
      <x:c r="Q8" s="19" t="str">
        <x:v>No</x:v>
      </x:c>
      <x:c r="R8" s="19" t="str">
        <x:v>Skip</x:v>
      </x:c>
      <x:c r="S8" s="19" t="str">
        <x:v>No</x:v>
      </x:c>
      <x:c r="T8" s="22" t="str">
        <x:v>Design/mockup sale language; not consumer discussion of American Apparel.</x:v>
      </x:c>
    </x:row>
    <x:row r="9">
      <x:c r="A9" s="9" t="str">
        <x:v>Instagram</x:v>
      </x:c>
      <x:c r="B9" s="10" t="str">
        <x:v>IG hashtag</x:v>
      </x:c>
      <x:c r="C9" s="10" t="str">
        <x:v>3930938201309518828</x:v>
      </x:c>
      <x:c r="D9" s="16" t="n">
        <x:v>46203.54133101852</x:v>
      </x:c>
      <x:c r="E9" s="10" t="str">
        <x:v>avart.std</x:v>
      </x:c>
      <x:c r="F9" s="10" t="str">
        <x:v>Sidecar</x:v>
      </x:c>
      <x:c r="G9" s="19" t="str">
        <x:v>DESIGN FOR SALE!! ( CONCEPT @valelives ) CODE : 117 ….. INCLUDED FILES : • PSD (SOURCE FILE), PNG (PREVIEW MOCKUP) AND MOCKUP FOR FREE. • TEXT &amp; COLORS CAN BE CHANGED. DM FOR PRICE &amp; INFORMATION ❕ #designforsale #streetwearbrand #tshirtdesign #brandowner #vintagedesign</x:v>
      </x:c>
      <x:c r="H9" s="19" t="str">
        <x:v>#designforsale #streetwearbrand #tshirtdesign #brandowner #vintagedesign</x:v>
      </x:c>
      <x:c r="I9" s="19" t="str">
        <x:v>@valelives @saintvanity.usa @pappiiq @ishowspeed @us.kozy @palyhollywood @outfitworldinspoo</x:v>
      </x:c>
      <x:c r="J9" s="25" t="n">
        <x:v>9</x:v>
      </x:c>
      <x:c r="K9" s="25" t="n">
        <x:v>14</x:v>
      </x:c>
      <x:c r="L9" s="25" t="n">
        <x:v>0</x:v>
      </x:c>
      <x:c r="M9" s="25" t="n">
        <x:v>0</x:v>
      </x:c>
      <x:c r="N9" s="19" t="str">
        <x:v>https://www.instagram.com/p/DaNf3eTERvs/</x:v>
      </x:c>
      <x:c r="O9" s="19" t="str"/>
      <x:c r="P9" s="19" t="str">
        <x:v>Design-sale noise</x:v>
      </x:c>
      <x:c r="Q9" s="19" t="str">
        <x:v>No</x:v>
      </x:c>
      <x:c r="R9" s="19" t="str">
        <x:v>Skip</x:v>
      </x:c>
      <x:c r="S9" s="19" t="str">
        <x:v>No</x:v>
      </x:c>
      <x:c r="T9" s="22" t="str">
        <x:v>Design/mockup sale language; not consumer discussion of American Apparel.</x:v>
      </x:c>
    </x:row>
    <x:row r="10">
      <x:c r="A10" s="9" t="str">
        <x:v>Instagram</x:v>
      </x:c>
      <x:c r="B10" s="10" t="str">
        <x:v>IG hashtag</x:v>
      </x:c>
      <x:c r="C10" s="10" t="str">
        <x:v>3922931033541541437</x:v>
      </x:c>
      <x:c r="D10" s="16" t="n">
        <x:v>46192.49355324074</x:v>
      </x:c>
      <x:c r="E10" s="10" t="str">
        <x:v>avart.std</x:v>
      </x:c>
      <x:c r="F10" s="10" t="str">
        <x:v>Sidecar</x:v>
      </x:c>
      <x:c r="G10" s="19" t="str">
        <x:v>DESIGN FOR SALE!! (CONCEPT @thegvgallery ) CODE : 112 ZIP UP SOLD✅ TSHIRT SOLD✅ INCLUDED FILES : • PSD (SOURCE FILE), PNG (PREVIEW MOCKUP) AND MOCKUP FOR FREE. • TEXT &amp; COLORS CAN BE CHANGED. DM FOR PRICE &amp; INFORMATION ❕ #designforsale #americanapparel #usacollections #brandowner #streetwearbrand</x:v>
      </x:c>
      <x:c r="H10" s="19" t="str">
        <x:v>#designforsale #americanapparel #usacollections #brandowner #streetwearbrand</x:v>
      </x:c>
      <x:c r="I10" s="19" t="str">
        <x:v>@thegvgallery @pappiiq @ishowspeed @greedyunit @us.kozy @palyhollywood</x:v>
      </x:c>
      <x:c r="J10" s="25" t="n">
        <x:v>8</x:v>
      </x:c>
      <x:c r="K10" s="25" t="n">
        <x:v>21</x:v>
      </x:c>
      <x:c r="L10" s="25" t="n">
        <x:v>0</x:v>
      </x:c>
      <x:c r="M10" s="25" t="n">
        <x:v>0</x:v>
      </x:c>
      <x:c r="N10" s="19" t="str">
        <x:v>https://www.instagram.com/p/DZxDP2MmX49/</x:v>
      </x:c>
      <x:c r="O10" s="19" t="str"/>
      <x:c r="P10" s="19" t="str">
        <x:v>Design-sale noise</x:v>
      </x:c>
      <x:c r="Q10" s="19" t="str">
        <x:v>No</x:v>
      </x:c>
      <x:c r="R10" s="19" t="str">
        <x:v>Skip</x:v>
      </x:c>
      <x:c r="S10" s="19" t="str">
        <x:v>No</x:v>
      </x:c>
      <x:c r="T10" s="22" t="str">
        <x:v>Design/mockup sale language; not consumer discussion of American Apparel.</x:v>
      </x:c>
    </x:row>
    <x:row r="11">
      <x:c r="A11" s="9" t="str">
        <x:v>TikTok</x:v>
      </x:c>
      <x:c r="B11" s="10" t="str">
        <x:v>TikTok hashtag — validation</x:v>
      </x:c>
      <x:c r="C11" s="10" t="str">
        <x:v>7651536995298168096</x:v>
      </x:c>
      <x:c r="D11" s="16" t="n">
        <x:v>46188.355266203704</x:v>
      </x:c>
      <x:c r="E11" s="10" t="str">
        <x:v>raeraesapparel</x:v>
      </x:c>
      <x:c r="F11" s="10" t="str">
        <x:v>Video</x:v>
      </x:c>
      <x:c r="G11" s="19" t="str">
        <x:v>Our launch is coming soon …. #countryapparel #country #countrymusic #americanapparel #truckerhat</x:v>
      </x:c>
      <x:c r="H11" s="19" t="str">
        <x:v>#countryapparel #country #countrymusic #americanapparel #truckerhat</x:v>
      </x:c>
      <x:c r="I11" s="19" t="str"/>
      <x:c r="J11" s="25" t="n">
        <x:v>6</x:v>
      </x:c>
      <x:c r="K11" s="25" t="n">
        <x:v>12</x:v>
      </x:c>
      <x:c r="L11" s="25" t="n">
        <x:v>1069</x:v>
      </x:c>
      <x:c r="M11" s="25" t="n">
        <x:v>0</x:v>
      </x:c>
      <x:c r="N11" s="19" t="str">
        <x:v>https://www.tiktok.com/@raeraesapparel/video/7651536995298168096</x:v>
      </x:c>
      <x:c r="O11" s="19" t="str"/>
      <x:c r="P11" s="19" t="str">
        <x:v>Likely irrelevant / generic</x:v>
      </x:c>
      <x:c r="Q11" s="19" t="str">
        <x:v>No</x:v>
      </x:c>
      <x:c r="R11" s="19" t="str">
        <x:v>Skip</x:v>
      </x:c>
      <x:c r="S11" s="19" t="str">
        <x:v>No</x:v>
      </x:c>
      <x:c r="T11" s="22" t="str">
        <x:v>American apparel appears as a generic hashtag rather than the brand.</x:v>
      </x:c>
    </x:row>
    <x:row r="12">
      <x:c r="A12" s="9" t="str">
        <x:v>Instagram</x:v>
      </x:c>
      <x:c r="B12" s="10" t="str">
        <x:v>IG hashtag</x:v>
      </x:c>
      <x:c r="C12" s="10" t="str">
        <x:v>3928014480614207074</x:v>
      </x:c>
      <x:c r="D12" s="16" t="n">
        <x:v>46199.507372685184</x:v>
      </x:c>
      <x:c r="E12" s="10" t="str">
        <x:v>avart.std</x:v>
      </x:c>
      <x:c r="F12" s="10" t="str">
        <x:v>Sidecar</x:v>
      </x:c>
      <x:c r="G12" s="19" t="str">
        <x:v>DESIGN FOR SALE!! ( CONCEPT @thegvgallery ) CODE : 115 ….. INCLUDED FILES : • PSD (SOURCE FILE), PNG (PREVIEW MOCKUP) AND MOCKUP FOR FREE. • TEXT &amp; COLORS CAN BE CHANGED. DM FOR PRICE &amp; INFORMATION ❕ #designforsale #streetwearbrand #tshirtdesign #brandowner #streetwearusa</x:v>
      </x:c>
      <x:c r="H12" s="19" t="str">
        <x:v>#designforsale #streetwearbrand #tshirtdesign #brandowner #streetwearusa</x:v>
      </x:c>
      <x:c r="I12" s="19" t="str">
        <x:v>@thegvgallery @pappiiq @ishowspeed @greedyunit @caprrice @us.kozy @hmddla_ @satoshinakamoto._</x:v>
      </x:c>
      <x:c r="J12" s="25" t="n">
        <x:v>6</x:v>
      </x:c>
      <x:c r="K12" s="25" t="n">
        <x:v>17</x:v>
      </x:c>
      <x:c r="L12" s="25" t="n">
        <x:v>0</x:v>
      </x:c>
      <x:c r="M12" s="25" t="n">
        <x:v>0</x:v>
      </x:c>
      <x:c r="N12" s="19" t="str">
        <x:v>https://www.instagram.com/p/DaDHFvNma5i/</x:v>
      </x:c>
      <x:c r="O12" s="19" t="str"/>
      <x:c r="P12" s="19" t="str">
        <x:v>Design-sale noise</x:v>
      </x:c>
      <x:c r="Q12" s="19" t="str">
        <x:v>No</x:v>
      </x:c>
      <x:c r="R12" s="19" t="str">
        <x:v>Skip</x:v>
      </x:c>
      <x:c r="S12" s="19" t="str">
        <x:v>No</x:v>
      </x:c>
      <x:c r="T12" s="22" t="str">
        <x:v>Design/mockup sale language; not consumer discussion of American Apparel.</x:v>
      </x:c>
    </x:row>
    <x:row r="13">
      <x:c r="A13" s="9" t="str">
        <x:v>Instagram</x:v>
      </x:c>
      <x:c r="B13" s="10" t="str">
        <x:v>IG hashtag</x:v>
      </x:c>
      <x:c r="C13" s="10" t="str">
        <x:v>3919652941711094146</x:v>
      </x:c>
      <x:c r="D13" s="16" t="n">
        <x:v>46187.97064814815</x:v>
      </x:c>
      <x:c r="E13" s="10" t="str">
        <x:v>godin.jpg</x:v>
      </x:c>
      <x:c r="F13" s="10" t="str">
        <x:v>Sidecar</x:v>
      </x:c>
      <x:c r="G13"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13" s="19" t="str">
        <x:v>#designforsale #clothingbrand #designs #streetwearbrand #streetwear #streetweardesigner #usastreetwear #americanapparel #urbanfashion #fashiondesigners</x:v>
      </x:c>
      <x:c r="I13" s="19" t="str">
        <x:v>@thegvgallery</x:v>
      </x:c>
      <x:c r="J13" s="25" t="n">
        <x:v>4</x:v>
      </x:c>
      <x:c r="K13" s="25" t="n">
        <x:v>5</x:v>
      </x:c>
      <x:c r="L13" s="25" t="n">
        <x:v>0</x:v>
      </x:c>
      <x:c r="M13" s="25" t="n">
        <x:v>0</x:v>
      </x:c>
      <x:c r="N13" s="19" t="str">
        <x:v>https://www.instagram.com/p/DZlZ5VRgTGC/</x:v>
      </x:c>
      <x:c r="O13" s="19" t="str"/>
      <x:c r="P13" s="19" t="str">
        <x:v>Design-sale noise</x:v>
      </x:c>
      <x:c r="Q13" s="19" t="str">
        <x:v>No</x:v>
      </x:c>
      <x:c r="R13" s="19" t="str">
        <x:v>Skip</x:v>
      </x:c>
      <x:c r="S13" s="19" t="str">
        <x:v>No</x:v>
      </x:c>
      <x:c r="T13" s="22" t="str">
        <x:v>Design/mockup sale language; not consumer discussion of American Apparel.</x:v>
      </x:c>
    </x:row>
    <x:row r="14">
      <x:c r="A14" s="9" t="str">
        <x:v>Instagram</x:v>
      </x:c>
      <x:c r="B14" s="10" t="str">
        <x:v>IG hashtag</x:v>
      </x:c>
      <x:c r="C14" s="10" t="str">
        <x:v>3928955979798009930</x:v>
      </x:c>
      <x:c r="D14" s="16" t="n">
        <x:v>46200.80638888889</x:v>
      </x:c>
      <x:c r="E14" s="10" t="str">
        <x:v>godin.jpg</x:v>
      </x:c>
      <x:c r="F14" s="10" t="str">
        <x:v>Sidecar</x:v>
      </x:c>
      <x:c r="G14"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14" s="19" t="str">
        <x:v>#designforsale #clothingbrand #designs #streetwearbrand #streetwear #streetweardesigner #usastreetwear #americanapparel #urbanfashion #fashiondesigners</x:v>
      </x:c>
      <x:c r="I14" s="19" t="str">
        <x:v>@motecali</x:v>
      </x:c>
      <x:c r="J14" s="25" t="n">
        <x:v>4</x:v>
      </x:c>
      <x:c r="K14" s="25" t="n">
        <x:v>5</x:v>
      </x:c>
      <x:c r="L14" s="25" t="n">
        <x:v>0</x:v>
      </x:c>
      <x:c r="M14" s="25" t="n">
        <x:v>0</x:v>
      </x:c>
      <x:c r="N14" s="19" t="str">
        <x:v>https://www.instagram.com/p/DaGdKWqAdhK/</x:v>
      </x:c>
      <x:c r="O14" s="19" t="str"/>
      <x:c r="P14" s="19" t="str">
        <x:v>Design-sale noise</x:v>
      </x:c>
      <x:c r="Q14" s="19" t="str">
        <x:v>No</x:v>
      </x:c>
      <x:c r="R14" s="19" t="str">
        <x:v>Skip</x:v>
      </x:c>
      <x:c r="S14" s="19" t="str">
        <x:v>No</x:v>
      </x:c>
      <x:c r="T14" s="22" t="str">
        <x:v>Design/mockup sale language; not consumer discussion of American Apparel.</x:v>
      </x:c>
    </x:row>
    <x:row r="15">
      <x:c r="A15" s="9" t="str">
        <x:v>Instagram</x:v>
      </x:c>
      <x:c r="B15" s="10" t="str">
        <x:v>IG hashtag</x:v>
      </x:c>
      <x:c r="C15" s="10" t="str">
        <x:v>3920919986424775522</x:v>
      </x:c>
      <x:c r="D15" s="16" t="n">
        <x:v>46189.718831018516</x:v>
      </x:c>
      <x:c r="E15" s="10" t="str">
        <x:v>andysdisaster</x:v>
      </x:c>
      <x:c r="F15" s="10" t="str">
        <x:v>Sidecar</x:v>
      </x:c>
      <x:c r="G15" s="19" t="str">
        <x:v>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15" s="19" t="str">
        <x:v>#americanapparel #streetwear #clothing #unitedstates #clothingbrand</x:v>
      </x:c>
      <x:c r="I15" s="19" t="str"/>
      <x:c r="J15" s="25" t="n">
        <x:v>3</x:v>
      </x:c>
      <x:c r="K15" s="25" t="n">
        <x:v>46</x:v>
      </x:c>
      <x:c r="L15" s="25" t="n">
        <x:v>0</x:v>
      </x:c>
      <x:c r="M15" s="25" t="n">
        <x:v>0</x:v>
      </x:c>
      <x:c r="N15" s="19" t="str">
        <x:v>https://www.instagram.com/p/DZp5_QnlANi/</x:v>
      </x:c>
      <x:c r="O15" s="19" t="str"/>
      <x:c r="P15" s="19" t="str">
        <x:v>Design-sale noise</x:v>
      </x:c>
      <x:c r="Q15" s="19" t="str">
        <x:v>No</x:v>
      </x:c>
      <x:c r="R15" s="19" t="str">
        <x:v>Skip</x:v>
      </x:c>
      <x:c r="S15" s="19" t="str">
        <x:v>No</x:v>
      </x:c>
      <x:c r="T15" s="22" t="str">
        <x:v>Design/mockup sale language; not consumer discussion of American Apparel.</x:v>
      </x:c>
    </x:row>
    <x:row r="16">
      <x:c r="A16" s="9" t="str">
        <x:v>Instagram</x:v>
      </x:c>
      <x:c r="B16" s="10" t="str">
        <x:v>IG hashtag</x:v>
      </x:c>
      <x:c r="C16" s="10" t="str">
        <x:v>3923813749596691620</x:v>
      </x:c>
      <x:c r="D16" s="16" t="n">
        <x:v>46193.71146990741</x:v>
      </x:c>
      <x:c r="E16" s="10" t="str">
        <x:v>godin.jpg</x:v>
      </x:c>
      <x:c r="F16" s="10" t="str">
        <x:v>Sidecar</x:v>
      </x:c>
      <x:c r="G16"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16" s="19" t="str">
        <x:v>#designforsale #clothingbrand #designs #streetwearbrand #streetwear #streetweardesigner #usastreetwear #americanapparel #urbanfashion #fashiondesigners</x:v>
      </x:c>
      <x:c r="I16" s="19" t="str"/>
      <x:c r="J16" s="25" t="n">
        <x:v>3</x:v>
      </x:c>
      <x:c r="K16" s="25" t="n">
        <x:v>3</x:v>
      </x:c>
      <x:c r="L16" s="25" t="n">
        <x:v>0</x:v>
      </x:c>
      <x:c r="M16" s="25" t="n">
        <x:v>0</x:v>
      </x:c>
      <x:c r="N16" s="19" t="str">
        <x:v>https://www.instagram.com/p/DZ0L9DlgRyk/</x:v>
      </x:c>
      <x:c r="O16" s="19" t="str"/>
      <x:c r="P16" s="19" t="str">
        <x:v>Design-sale noise</x:v>
      </x:c>
      <x:c r="Q16" s="19" t="str">
        <x:v>No</x:v>
      </x:c>
      <x:c r="R16" s="19" t="str">
        <x:v>Skip</x:v>
      </x:c>
      <x:c r="S16" s="19" t="str">
        <x:v>No</x:v>
      </x:c>
      <x:c r="T16" s="22" t="str">
        <x:v>Design/mockup sale language; not consumer discussion of American Apparel.</x:v>
      </x:c>
    </x:row>
    <x:row r="17">
      <x:c r="A17" s="9" t="str">
        <x:v>Instagram</x:v>
      </x:c>
      <x:c r="B17" s="10" t="str">
        <x:v>IG hashtag</x:v>
      </x:c>
      <x:c r="C17" s="10" t="str">
        <x:v>3925391458035806848</x:v>
      </x:c>
      <x:c r="D17" s="16" t="n">
        <x:v>46195.888287037036</x:v>
      </x:c>
      <x:c r="E17" s="10" t="str">
        <x:v>andysdisaster</x:v>
      </x:c>
      <x:c r="F17" s="10" t="str">
        <x:v>Sidecar</x:v>
      </x:c>
      <x:c r="G17" s="19" t="str">
        <x:v>Streetwear Graphic Design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17" s="19" t="str">
        <x:v>#americanapparel #streetwear #clothing #unitedstates #clothingbrand</x:v>
      </x:c>
      <x:c r="I17" s="19" t="str"/>
      <x:c r="J17" s="25" t="n">
        <x:v>3</x:v>
      </x:c>
      <x:c r="K17" s="25" t="n">
        <x:v>40</x:v>
      </x:c>
      <x:c r="L17" s="25" t="n">
        <x:v>0</x:v>
      </x:c>
      <x:c r="M17" s="25" t="n">
        <x:v>0</x:v>
      </x:c>
      <x:c r="N17" s="19" t="str">
        <x:v>https://www.instagram.com/p/DZ5yrvEk7KA/</x:v>
      </x:c>
      <x:c r="O17" s="19" t="str"/>
      <x:c r="P17" s="19" t="str">
        <x:v>Design-sale noise</x:v>
      </x:c>
      <x:c r="Q17" s="19" t="str">
        <x:v>No</x:v>
      </x:c>
      <x:c r="R17" s="19" t="str">
        <x:v>Skip</x:v>
      </x:c>
      <x:c r="S17" s="19" t="str">
        <x:v>No</x:v>
      </x:c>
      <x:c r="T17" s="22" t="str">
        <x:v>Design/mockup sale language; not consumer discussion of American Apparel.</x:v>
      </x:c>
    </x:row>
    <x:row r="18">
      <x:c r="A18" s="9" t="str">
        <x:v>Instagram</x:v>
      </x:c>
      <x:c r="B18" s="10" t="str">
        <x:v>IG hashtag</x:v>
      </x:c>
      <x:c r="C18" s="10" t="str">
        <x:v>3927360911246119190</x:v>
      </x:c>
      <x:c r="D18" s="16" t="n">
        <x:v>46198.60561342593</x:v>
      </x:c>
      <x:c r="E18" s="10" t="str">
        <x:v>andysdisaster</x:v>
      </x:c>
      <x:c r="F18" s="10" t="str">
        <x:v>Sidecar</x:v>
      </x:c>
      <x:c r="G18" s="19" t="str">
        <x:v>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18" s="19" t="str">
        <x:v>#americanapparel #streetwear #clothing #unitedstates #clothingbrand</x:v>
      </x:c>
      <x:c r="I18" s="19" t="str"/>
      <x:c r="J18" s="25" t="n">
        <x:v>3</x:v>
      </x:c>
      <x:c r="K18" s="25" t="n">
        <x:v>27</x:v>
      </x:c>
      <x:c r="L18" s="25" t="n">
        <x:v>0</x:v>
      </x:c>
      <x:c r="M18" s="25" t="n">
        <x:v>0</x:v>
      </x:c>
      <x:c r="N18" s="19" t="str">
        <x:v>https://www.instagram.com/p/DaAyfDTlFEW/</x:v>
      </x:c>
      <x:c r="O18" s="19" t="str"/>
      <x:c r="P18" s="19" t="str">
        <x:v>Design-sale noise</x:v>
      </x:c>
      <x:c r="Q18" s="19" t="str">
        <x:v>No</x:v>
      </x:c>
      <x:c r="R18" s="19" t="str">
        <x:v>Skip</x:v>
      </x:c>
      <x:c r="S18" s="19" t="str">
        <x:v>No</x:v>
      </x:c>
      <x:c r="T18" s="22" t="str">
        <x:v>Design/mockup sale language; not consumer discussion of American Apparel.</x:v>
      </x:c>
    </x:row>
    <x:row r="19">
      <x:c r="A19" s="9" t="str">
        <x:v>Instagram</x:v>
      </x:c>
      <x:c r="B19" s="10" t="str">
        <x:v>IG hashtag</x:v>
      </x:c>
      <x:c r="C19" s="10" t="str">
        <x:v>3928785894237320584</x:v>
      </x:c>
      <x:c r="D19" s="16" t="n">
        <x:v>46200.57171296296</x:v>
      </x:c>
      <x:c r="E19" s="10" t="str">
        <x:v>andysdisaster</x:v>
      </x:c>
      <x:c r="F19" s="10" t="str">
        <x:v>Sidecar</x:v>
      </x:c>
      <x:c r="G19" s="19" t="str">
        <x:v>Graphic Design Availavle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19" s="19" t="str">
        <x:v>#americanapparel #streetwear #clothing #unitedstates #clothingbrand</x:v>
      </x:c>
      <x:c r="I19" s="19" t="str"/>
      <x:c r="J19" s="25" t="n">
        <x:v>3</x:v>
      </x:c>
      <x:c r="K19" s="25" t="n">
        <x:v>31</x:v>
      </x:c>
      <x:c r="L19" s="25" t="n">
        <x:v>0</x:v>
      </x:c>
      <x:c r="M19" s="25" t="n">
        <x:v>0</x:v>
      </x:c>
      <x:c r="N19" s="19" t="str">
        <x:v>https://www.instagram.com/p/DaF2fSIlLWI/</x:v>
      </x:c>
      <x:c r="O19" s="19" t="str"/>
      <x:c r="P19" s="19" t="str">
        <x:v>Design-sale noise</x:v>
      </x:c>
      <x:c r="Q19" s="19" t="str">
        <x:v>No</x:v>
      </x:c>
      <x:c r="R19" s="19" t="str">
        <x:v>Skip</x:v>
      </x:c>
      <x:c r="S19" s="19" t="str">
        <x:v>No</x:v>
      </x:c>
      <x:c r="T19" s="22" t="str">
        <x:v>Design/mockup sale language; not consumer discussion of American Apparel.</x:v>
      </x:c>
    </x:row>
    <x:row r="20">
      <x:c r="A20" s="9" t="str">
        <x:v>Instagram</x:v>
      </x:c>
      <x:c r="B20" s="10" t="str">
        <x:v>IG hashtag</x:v>
      </x:c>
      <x:c r="C20" s="10" t="str">
        <x:v>3929460377495329202</x:v>
      </x:c>
      <x:c r="D20" s="16" t="n">
        <x:v>46201.50232638889</x:v>
      </x:c>
      <x:c r="E20" s="10" t="str">
        <x:v>voidworks.usa</x:v>
      </x:c>
      <x:c r="F20" s="10" t="str">
        <x:v>Sidecar</x:v>
      </x:c>
      <x:c r="G20"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V026 #americanapparel #streetwear #clothing #unitedstates #clothingbrand</x:v>
      </x:c>
      <x:c r="H20" s="19" t="str">
        <x:v>#americanapparel #streetwear #clothing #unitedstates #clothingbrand</x:v>
      </x:c>
      <x:c r="I20" s="19" t="str"/>
      <x:c r="J20" s="25" t="n">
        <x:v>3</x:v>
      </x:c>
      <x:c r="K20" s="25" t="n">
        <x:v>3</x:v>
      </x:c>
      <x:c r="L20" s="25" t="n">
        <x:v>0</x:v>
      </x:c>
      <x:c r="M20" s="25" t="n">
        <x:v>0</x:v>
      </x:c>
      <x:c r="N20" s="19" t="str">
        <x:v>https://www.instagram.com/p/DaIP2TnlNmy/</x:v>
      </x:c>
      <x:c r="O20" s="19" t="str"/>
      <x:c r="P20" s="19" t="str">
        <x:v>Design-sale noise</x:v>
      </x:c>
      <x:c r="Q20" s="19" t="str">
        <x:v>No</x:v>
      </x:c>
      <x:c r="R20" s="19" t="str">
        <x:v>Skip</x:v>
      </x:c>
      <x:c r="S20" s="19" t="str">
        <x:v>No</x:v>
      </x:c>
      <x:c r="T20" s="22" t="str">
        <x:v>Design/mockup sale language; not consumer discussion of American Apparel.</x:v>
      </x:c>
    </x:row>
    <x:row r="21">
      <x:c r="A21" s="9" t="str">
        <x:v>Instagram</x:v>
      </x:c>
      <x:c r="B21" s="10" t="str">
        <x:v>IG hashtag</x:v>
      </x:c>
      <x:c r="C21" s="10" t="str">
        <x:v>3929599860123412291</x:v>
      </x:c>
      <x:c r="D21" s="16" t="n">
        <x:v>46201.69478009259</x:v>
      </x:c>
      <x:c r="E21" s="10" t="str">
        <x:v>andysdisaster</x:v>
      </x:c>
      <x:c r="F21" s="10" t="str">
        <x:v>Sidecar</x:v>
      </x:c>
      <x:c r="G21" s="19" t="str">
        <x:v>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21" s="19" t="str">
        <x:v>#americanapparel #streetwear #clothing #unitedstates #clothingbrand</x:v>
      </x:c>
      <x:c r="I21" s="19" t="str"/>
      <x:c r="J21" s="25" t="n">
        <x:v>3</x:v>
      </x:c>
      <x:c r="K21" s="25" t="n">
        <x:v>25</x:v>
      </x:c>
      <x:c r="L21" s="25" t="n">
        <x:v>0</x:v>
      </x:c>
      <x:c r="M21" s="25" t="n">
        <x:v>0</x:v>
      </x:c>
      <x:c r="N21" s="19" t="str">
        <x:v>https://www.instagram.com/p/DaIvkC8FKdD/</x:v>
      </x:c>
      <x:c r="O21" s="19" t="str"/>
      <x:c r="P21" s="19" t="str">
        <x:v>Design-sale noise</x:v>
      </x:c>
      <x:c r="Q21" s="19" t="str">
        <x:v>No</x:v>
      </x:c>
      <x:c r="R21" s="19" t="str">
        <x:v>Skip</x:v>
      </x:c>
      <x:c r="S21" s="19" t="str">
        <x:v>No</x:v>
      </x:c>
      <x:c r="T21" s="22" t="str">
        <x:v>Design/mockup sale language; not consumer discussion of American Apparel.</x:v>
      </x:c>
    </x:row>
    <x:row r="22">
      <x:c r="A22" s="9" t="str">
        <x:v>Instagram</x:v>
      </x:c>
      <x:c r="B22" s="10" t="str">
        <x:v>IG hashtag</x:v>
      </x:c>
      <x:c r="C22" s="10" t="str">
        <x:v>3929606451748913267</x:v>
      </x:c>
      <x:c r="D22" s="16" t="n">
        <x:v>46201.703877314816</x:v>
      </x:c>
      <x:c r="E22" s="10" t="str">
        <x:v>culture_prjct</x:v>
      </x:c>
      <x:c r="F22" s="10" t="str">
        <x:v>Sidecar</x:v>
      </x:c>
      <x:c r="G22"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C01 #americanapparel #streetwear #clothing #unitedstates #clothingbrand</x:v>
      </x:c>
      <x:c r="H22" s="19" t="str">
        <x:v>#americanapparel #streetwear #clothing #unitedstates #clothingbrand</x:v>
      </x:c>
      <x:c r="I22" s="19" t="str">
        <x:v>@dontnojess</x:v>
      </x:c>
      <x:c r="J22" s="25" t="n">
        <x:v>3</x:v>
      </x:c>
      <x:c r="K22" s="25" t="n">
        <x:v>4</x:v>
      </x:c>
      <x:c r="L22" s="25" t="n">
        <x:v>0</x:v>
      </x:c>
      <x:c r="M22" s="25" t="n">
        <x:v>0</x:v>
      </x:c>
      <x:c r="N22" s="19" t="str">
        <x:v>https://www.instagram.com/p/DaIxD93k8Bz/</x:v>
      </x:c>
      <x:c r="O22" s="19" t="str"/>
      <x:c r="P22" s="19" t="str">
        <x:v>Design-sale noise</x:v>
      </x:c>
      <x:c r="Q22" s="19" t="str">
        <x:v>No</x:v>
      </x:c>
      <x:c r="R22" s="19" t="str">
        <x:v>Skip</x:v>
      </x:c>
      <x:c r="S22" s="19" t="str">
        <x:v>No</x:v>
      </x:c>
      <x:c r="T22" s="22" t="str">
        <x:v>Design/mockup sale language; not consumer discussion of American Apparel.</x:v>
      </x:c>
    </x:row>
    <x:row r="23">
      <x:c r="A23" s="9" t="str">
        <x:v>Instagram</x:v>
      </x:c>
      <x:c r="B23" s="10" t="str">
        <x:v>IG hashtag</x:v>
      </x:c>
      <x:c r="C23" s="10" t="str">
        <x:v>3918688362723599305</x:v>
      </x:c>
      <x:c r="D23" s="16" t="n">
        <x:v>46186.63978009259</x:v>
      </x:c>
      <x:c r="E23" s="10" t="str">
        <x:v>bezirlane.std</x:v>
      </x:c>
      <x:c r="F23" s="10" t="str">
        <x:v>Sidecar</x:v>
      </x:c>
      <x:c r="G23" s="19" t="str">
        <x:v>DESIGN AVAILABLE FOR SALE Tap in via DM to secure yours 🛒 • Fully customizable text &amp; color options • Premium graphic design ready for any garment • Delivered in high-resolution PNG &amp; PSD files • Trusted by multiple brands &amp; international clients • Open for custom logo, merch &amp; full branding requests Every design is made with quality and originality in mind. Displayed brand is only a sample — your own branding will be added after purchase. Appreciate everyone who continues to support and trust our work. 🖤 #streetwear #clothingbrand #graphicdesign #fashion #americanapparel</x:v>
      </x:c>
      <x:c r="H23" s="19" t="str">
        <x:v>#streetwear #clothingbrand #graphicdesign #fashion #americanapparel</x:v>
      </x:c>
      <x:c r="I23" s="19" t="str"/>
      <x:c r="J23" s="25" t="n">
        <x:v>2</x:v>
      </x:c>
      <x:c r="K23" s="25" t="n">
        <x:v>3</x:v>
      </x:c>
      <x:c r="L23" s="25" t="n">
        <x:v>0</x:v>
      </x:c>
      <x:c r="M23" s="25" t="n">
        <x:v>0</x:v>
      </x:c>
      <x:c r="N23" s="19" t="str">
        <x:v>https://www.instagram.com/p/DZh-k3FmOPJ/</x:v>
      </x:c>
      <x:c r="O23" s="19" t="str"/>
      <x:c r="P23" s="19" t="str">
        <x:v>Design-sale noise</x:v>
      </x:c>
      <x:c r="Q23" s="19" t="str">
        <x:v>No</x:v>
      </x:c>
      <x:c r="R23" s="19" t="str">
        <x:v>Skip</x:v>
      </x:c>
      <x:c r="S23" s="19" t="str">
        <x:v>No</x:v>
      </x:c>
      <x:c r="T23" s="22" t="str">
        <x:v>Design/mockup sale language; not consumer discussion of American Apparel.</x:v>
      </x:c>
    </x:row>
    <x:row r="24">
      <x:c r="A24" s="9" t="str">
        <x:v>Instagram</x:v>
      </x:c>
      <x:c r="B24" s="10" t="str">
        <x:v>IG hashtag</x:v>
      </x:c>
      <x:c r="C24" s="10" t="str">
        <x:v>3919421879476588021</x:v>
      </x:c>
      <x:c r="D24" s="16" t="n">
        <x:v>46187.65184027778</x:v>
      </x:c>
      <x:c r="E24" s="10" t="str">
        <x:v>bezirlane.std</x:v>
      </x:c>
      <x:c r="F24" s="10" t="str">
        <x:v>Sidecar</x:v>
      </x:c>
      <x:c r="G24" s="19" t="str">
        <x:v>DESIGN AVAILABLE FOR SALE Tap in via DM to secure yours 🛒 • Fully customizable text &amp; color options • Premium graphic design ready for any garment • Delivered in high-resolution PNG &amp; PSD files • Trusted by multiple brands &amp; international clients • Open for custom logo, merch &amp; full branding requests Every design is made with quality and originality in mind. Displayed brand is only a sample — your own branding will be added after purchase. Appreciate everyone who continues to support and trust our work. 🖤 #streetwear #clothingbrand #graphicdesign #fashion #americanapparel</x:v>
      </x:c>
      <x:c r="H24" s="19" t="str">
        <x:v>#streetwear #clothingbrand #graphicdesign #fashion #americanapparel</x:v>
      </x:c>
      <x:c r="I24" s="19" t="str"/>
      <x:c r="J24" s="25" t="n">
        <x:v>2</x:v>
      </x:c>
      <x:c r="K24" s="25" t="n">
        <x:v>3</x:v>
      </x:c>
      <x:c r="L24" s="25" t="n">
        <x:v>0</x:v>
      </x:c>
      <x:c r="M24" s="25" t="n">
        <x:v>0</x:v>
      </x:c>
      <x:c r="N24" s="19" t="str">
        <x:v>https://www.instagram.com/p/DZklW7zGI31/</x:v>
      </x:c>
      <x:c r="O24" s="19" t="str"/>
      <x:c r="P24" s="19" t="str">
        <x:v>Design-sale noise</x:v>
      </x:c>
      <x:c r="Q24" s="19" t="str">
        <x:v>No</x:v>
      </x:c>
      <x:c r="R24" s="19" t="str">
        <x:v>Skip</x:v>
      </x:c>
      <x:c r="S24" s="19" t="str">
        <x:v>No</x:v>
      </x:c>
      <x:c r="T24" s="22" t="str">
        <x:v>Design/mockup sale language; not consumer discussion of American Apparel.</x:v>
      </x:c>
    </x:row>
    <x:row r="25">
      <x:c r="A25" s="9" t="str">
        <x:v>Instagram</x:v>
      </x:c>
      <x:c r="B25" s="10" t="str">
        <x:v>IG hashtag</x:v>
      </x:c>
      <x:c r="C25" s="10" t="str">
        <x:v>3920037088192662489</x:v>
      </x:c>
      <x:c r="D25" s="16" t="n">
        <x:v>46188.50017361111</x:v>
      </x:c>
      <x:c r="E25" s="10" t="str">
        <x:v>andysdisaster</x:v>
      </x:c>
      <x:c r="F25" s="10" t="str">
        <x:v>Sidecar</x:v>
      </x:c>
      <x:c r="G25" s="19" t="str">
        <x:v>Streetwear Graphic Design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25" s="19" t="str">
        <x:v>#americanapparel #streetwear #clothing #unitedstates #clothingbrand</x:v>
      </x:c>
      <x:c r="I25" s="19" t="str"/>
      <x:c r="J25" s="25" t="n">
        <x:v>2</x:v>
      </x:c>
      <x:c r="K25" s="25" t="n">
        <x:v>56</x:v>
      </x:c>
      <x:c r="L25" s="25" t="n">
        <x:v>0</x:v>
      </x:c>
      <x:c r="M25" s="25" t="n">
        <x:v>0</x:v>
      </x:c>
      <x:c r="N25" s="19" t="str">
        <x:v>https://www.instagram.com/p/DZmxPZkFIvZ/</x:v>
      </x:c>
      <x:c r="O25" s="19" t="str"/>
      <x:c r="P25" s="19" t="str">
        <x:v>Design-sale noise</x:v>
      </x:c>
      <x:c r="Q25" s="19" t="str">
        <x:v>No</x:v>
      </x:c>
      <x:c r="R25" s="19" t="str">
        <x:v>Skip</x:v>
      </x:c>
      <x:c r="S25" s="19" t="str">
        <x:v>No</x:v>
      </x:c>
      <x:c r="T25" s="22" t="str">
        <x:v>Design/mockup sale language; not consumer discussion of American Apparel.</x:v>
      </x:c>
    </x:row>
    <x:row r="26">
      <x:c r="A26" s="9" t="str">
        <x:v>Instagram</x:v>
      </x:c>
      <x:c r="B26" s="10" t="str">
        <x:v>IG hashtag</x:v>
      </x:c>
      <x:c r="C26" s="10" t="str">
        <x:v>3921164980946326905</x:v>
      </x:c>
      <x:c r="D26" s="16" t="n">
        <x:v>46190.056863425925</x:v>
      </x:c>
      <x:c r="E26" s="10" t="str">
        <x:v>godin.jpg</x:v>
      </x:c>
      <x:c r="F26" s="10" t="str">
        <x:v>Sidecar</x:v>
      </x:c>
      <x:c r="G26"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26" s="19" t="str">
        <x:v>#designforsale #clothingbrand #designs #streetwearbrand #streetwear #streetweardesigner #usastreetwear #americanapparel #urbanfashion #fashiondesigners</x:v>
      </x:c>
      <x:c r="I26" s="19" t="str"/>
      <x:c r="J26" s="25" t="n">
        <x:v>2</x:v>
      </x:c>
      <x:c r="K26" s="25" t="n">
        <x:v>2</x:v>
      </x:c>
      <x:c r="L26" s="25" t="n">
        <x:v>0</x:v>
      </x:c>
      <x:c r="M26" s="25" t="n">
        <x:v>0</x:v>
      </x:c>
      <x:c r="N26" s="19" t="str">
        <x:v>https://www.instagram.com/p/DZqxsZjAdV5/</x:v>
      </x:c>
      <x:c r="O26" s="19" t="str"/>
      <x:c r="P26" s="19" t="str">
        <x:v>Design-sale noise</x:v>
      </x:c>
      <x:c r="Q26" s="19" t="str">
        <x:v>No</x:v>
      </x:c>
      <x:c r="R26" s="19" t="str">
        <x:v>Skip</x:v>
      </x:c>
      <x:c r="S26" s="19" t="str">
        <x:v>No</x:v>
      </x:c>
      <x:c r="T26" s="22" t="str">
        <x:v>Design/mockup sale language; not consumer discussion of American Apparel.</x:v>
      </x:c>
    </x:row>
    <x:row r="27">
      <x:c r="A27" s="9" t="str">
        <x:v>Instagram</x:v>
      </x:c>
      <x:c r="B27" s="10" t="str">
        <x:v>IG hashtag</x:v>
      </x:c>
      <x:c r="C27" s="10" t="str">
        <x:v>3921610829934642425</x:v>
      </x:c>
      <x:c r="D27" s="16" t="n">
        <x:v>46190.67201388889</x:v>
      </x:c>
      <x:c r="E27" s="10" t="str">
        <x:v>andysdisaster</x:v>
      </x:c>
      <x:c r="F27" s="10" t="str">
        <x:v>Sidecar</x:v>
      </x:c>
      <x:c r="G27" s="19" t="str">
        <x:v>Graphic Vintage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27" s="19" t="str">
        <x:v>#americanapparel #streetwear #clothing #unitedstates #clothingbrand</x:v>
      </x:c>
      <x:c r="I27" s="19" t="str"/>
      <x:c r="J27" s="25" t="n">
        <x:v>2</x:v>
      </x:c>
      <x:c r="K27" s="25" t="n">
        <x:v>46</x:v>
      </x:c>
      <x:c r="L27" s="25" t="n">
        <x:v>0</x:v>
      </x:c>
      <x:c r="M27" s="25" t="n">
        <x:v>0</x:v>
      </x:c>
      <x:c r="N27" s="19" t="str">
        <x:v>https://www.instagram.com/p/DZsXEWxlET5/</x:v>
      </x:c>
      <x:c r="O27" s="19" t="str"/>
      <x:c r="P27" s="19" t="str">
        <x:v>Design-sale noise</x:v>
      </x:c>
      <x:c r="Q27" s="19" t="str">
        <x:v>No</x:v>
      </x:c>
      <x:c r="R27" s="19" t="str">
        <x:v>Skip</x:v>
      </x:c>
      <x:c r="S27" s="19" t="str">
        <x:v>No</x:v>
      </x:c>
      <x:c r="T27" s="22" t="str">
        <x:v>Design/mockup sale language; not consumer discussion of American Apparel.</x:v>
      </x:c>
    </x:row>
    <x:row r="28">
      <x:c r="A28" s="9" t="str">
        <x:v>Instagram</x:v>
      </x:c>
      <x:c r="B28" s="10" t="str">
        <x:v>IG hashtag</x:v>
      </x:c>
      <x:c r="C28" s="10" t="str">
        <x:v>3923806619725739427</x:v>
      </x:c>
      <x:c r="D28" s="16" t="n">
        <x:v>46193.701631944445</x:v>
      </x:c>
      <x:c r="E28" s="10" t="str">
        <x:v>andysdisaster</x:v>
      </x:c>
      <x:c r="F28" s="10" t="str">
        <x:v>Sidecar</x:v>
      </x:c>
      <x:c r="G28" s="19" t="str">
        <x:v>Premade Design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28" s="19" t="str">
        <x:v>#americanapparel #streetwear #clothing #unitedstates #clothingbrand</x:v>
      </x:c>
      <x:c r="I28" s="19" t="str"/>
      <x:c r="J28" s="25" t="n">
        <x:v>2</x:v>
      </x:c>
      <x:c r="K28" s="25" t="n">
        <x:v>15</x:v>
      </x:c>
      <x:c r="L28" s="25" t="n">
        <x:v>0</x:v>
      </x:c>
      <x:c r="M28" s="25" t="n">
        <x:v>0</x:v>
      </x:c>
      <x:c r="N28" s="19" t="str">
        <x:v>https://www.instagram.com/p/DZ0KVTYFDWj/</x:v>
      </x:c>
      <x:c r="O28" s="19" t="str"/>
      <x:c r="P28" s="19" t="str">
        <x:v>Design-sale noise</x:v>
      </x:c>
      <x:c r="Q28" s="19" t="str">
        <x:v>No</x:v>
      </x:c>
      <x:c r="R28" s="19" t="str">
        <x:v>Skip</x:v>
      </x:c>
      <x:c r="S28" s="19" t="str">
        <x:v>No</x:v>
      </x:c>
      <x:c r="T28" s="22" t="str">
        <x:v>Design/mockup sale language; not consumer discussion of American Apparel.</x:v>
      </x:c>
    </x:row>
    <x:row r="29">
      <x:c r="A29" s="9" t="str">
        <x:v>Instagram</x:v>
      </x:c>
      <x:c r="B29" s="10" t="str">
        <x:v>IG hashtag</x:v>
      </x:c>
      <x:c r="C29" s="10" t="str">
        <x:v>3924523116429358110</x:v>
      </x:c>
      <x:c r="D29" s="16" t="n">
        <x:v>46194.69020833333</x:v>
      </x:c>
      <x:c r="E29" s="10" t="str">
        <x:v>andysdisaster</x:v>
      </x:c>
      <x:c r="F29" s="10" t="str">
        <x:v>Sidecar</x:v>
      </x:c>
      <x:c r="G29" s="19" t="str">
        <x:v>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29" s="19" t="str">
        <x:v>#americanapparel #streetwear #clothing #unitedstates #clothingbrand</x:v>
      </x:c>
      <x:c r="I29" s="19" t="str"/>
      <x:c r="J29" s="25" t="n">
        <x:v>2</x:v>
      </x:c>
      <x:c r="K29" s="25" t="n">
        <x:v>34</x:v>
      </x:c>
      <x:c r="L29" s="25" t="n">
        <x:v>0</x:v>
      </x:c>
      <x:c r="M29" s="25" t="n">
        <x:v>0</x:v>
      </x:c>
      <x:c r="N29" s="19" t="str">
        <x:v>https://www.instagram.com/p/DZ2tPs7lLQe/</x:v>
      </x:c>
      <x:c r="O29" s="19" t="str"/>
      <x:c r="P29" s="19" t="str">
        <x:v>Design-sale noise</x:v>
      </x:c>
      <x:c r="Q29" s="19" t="str">
        <x:v>No</x:v>
      </x:c>
      <x:c r="R29" s="19" t="str">
        <x:v>Skip</x:v>
      </x:c>
      <x:c r="S29" s="19" t="str">
        <x:v>No</x:v>
      </x:c>
      <x:c r="T29" s="22" t="str">
        <x:v>Design/mockup sale language; not consumer discussion of American Apparel.</x:v>
      </x:c>
    </x:row>
    <x:row r="30">
      <x:c r="A30" s="9" t="str">
        <x:v>Instagram</x:v>
      </x:c>
      <x:c r="B30" s="10" t="str">
        <x:v>IG hashtag</x:v>
      </x:c>
      <x:c r="C30" s="10" t="str">
        <x:v>3925122294977465413</x:v>
      </x:c>
      <x:c r="D30" s="16" t="n">
        <x:v>46195.516909722224</x:v>
      </x:c>
      <x:c r="E30" s="10" t="str">
        <x:v>avart.std</x:v>
      </x:c>
      <x:c r="F30" s="10" t="str">
        <x:v>Sidecar</x:v>
      </x:c>
      <x:c r="G30" s="19" t="str">
        <x:v>DESIGN FOR SALE!! ( CONCEPT @internetruinsthings.la ) CODE : 113 TSHIRT SOLD✅ INCLUDED FILES : • PSD (SOURCE FILE), PNG (PREVIEW MOCKUP) AND MOCKUP FOR FREE. • TEXT &amp; COLORS CAN BE CHANGED. DM FOR PRICE &amp; INFORMATION ❕ #designforsale #americanapparel #usacollections #brandowner #streetwearbrand</x:v>
      </x:c>
      <x:c r="H30" s="19" t="str">
        <x:v>#designforsale #americanapparel #usacollections #brandowner #streetwearbrand</x:v>
      </x:c>
      <x:c r="I30" s="19" t="str">
        <x:v>@internetruinsthings.la @pappiiq @ishowspeed @thegvgallery</x:v>
      </x:c>
      <x:c r="J30" s="25" t="n">
        <x:v>2</x:v>
      </x:c>
      <x:c r="K30" s="25" t="n">
        <x:v>19</x:v>
      </x:c>
      <x:c r="L30" s="25" t="n">
        <x:v>0</x:v>
      </x:c>
      <x:c r="M30" s="25" t="n">
        <x:v>0</x:v>
      </x:c>
      <x:c r="N30" s="19" t="str">
        <x:v>https://www.instagram.com/p/DZ41e5cGQxF/</x:v>
      </x:c>
      <x:c r="O30" s="19" t="str"/>
      <x:c r="P30" s="19" t="str">
        <x:v>Design-sale noise</x:v>
      </x:c>
      <x:c r="Q30" s="19" t="str">
        <x:v>No</x:v>
      </x:c>
      <x:c r="R30" s="19" t="str">
        <x:v>Skip</x:v>
      </x:c>
      <x:c r="S30" s="19" t="str">
        <x:v>No</x:v>
      </x:c>
      <x:c r="T30" s="22" t="str">
        <x:v>Design/mockup sale language; not consumer discussion of American Apparel.</x:v>
      </x:c>
    </x:row>
    <x:row r="31">
      <x:c r="A31" s="9" t="str">
        <x:v>Instagram</x:v>
      </x:c>
      <x:c r="B31" s="10" t="str">
        <x:v>IG hashtag</x:v>
      </x:c>
      <x:c r="C31" s="10" t="str">
        <x:v>3925122587143990406</x:v>
      </x:c>
      <x:c r="D31" s="16" t="n">
        <x:v>46195.51731481482</x:v>
      </x:c>
      <x:c r="E31" s="10" t="str">
        <x:v>voidworks.usa</x:v>
      </x:c>
      <x:c r="F31" s="10" t="str">
        <x:v>Sidecar</x:v>
      </x:c>
      <x:c r="G31"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V019 #americanapparel #streetwear #clothing #unitedstates #clothingbrand</x:v>
      </x:c>
      <x:c r="H31" s="19" t="str">
        <x:v>#americanapparel #streetwear #clothing #unitedstates #clothingbrand</x:v>
      </x:c>
      <x:c r="I31" s="19" t="str"/>
      <x:c r="J31" s="25" t="n">
        <x:v>2</x:v>
      </x:c>
      <x:c r="K31" s="25" t="n">
        <x:v>4</x:v>
      </x:c>
      <x:c r="L31" s="25" t="n">
        <x:v>0</x:v>
      </x:c>
      <x:c r="M31" s="25" t="n">
        <x:v>0</x:v>
      </x:c>
      <x:c r="N31" s="19" t="str">
        <x:v>https://www.instagram.com/p/DZ41jJilGyG/</x:v>
      </x:c>
      <x:c r="O31" s="19" t="str"/>
      <x:c r="P31" s="19" t="str">
        <x:v>Design-sale noise</x:v>
      </x:c>
      <x:c r="Q31" s="19" t="str">
        <x:v>No</x:v>
      </x:c>
      <x:c r="R31" s="19" t="str">
        <x:v>Skip</x:v>
      </x:c>
      <x:c r="S31" s="19" t="str">
        <x:v>No</x:v>
      </x:c>
      <x:c r="T31" s="22" t="str">
        <x:v>Design/mockup sale language; not consumer discussion of American Apparel.</x:v>
      </x:c>
    </x:row>
    <x:row r="32">
      <x:c r="A32" s="9" t="str">
        <x:v>Instagram</x:v>
      </x:c>
      <x:c r="B32" s="10" t="str">
        <x:v>IG hashtag</x:v>
      </x:c>
      <x:c r="C32" s="10" t="str">
        <x:v>3925182311843504922</x:v>
      </x:c>
      <x:c r="D32" s="16" t="n">
        <x:v>46195.59972222222</x:v>
      </x:c>
      <x:c r="E32" s="10" t="str">
        <x:v>dads.graphic</x:v>
      </x:c>
      <x:c r="F32" s="10" t="str">
        <x:v>Sidecar</x:v>
      </x:c>
      <x:c r="G32" s="19" t="str">
        <x:v>DESIGN AVAILABLE 👀🚀 Been working on something with a clean racing and streetwear vibe. Simple color blocking, bold graphics, and an easy everyday fit. I could see this one turning into a solid brand staple. DM if you want to make it yours. 📩 #americanapparel #clothingbrand #streetweardesigner #designforsale #tracksuit</x:v>
      </x:c>
      <x:c r="H32" s="19" t="str">
        <x:v>#americanapparel #clothingbrand #streetweardesigner #designforsale #tracksuit</x:v>
      </x:c>
      <x:c r="I32" s="19" t="str"/>
      <x:c r="J32" s="25" t="n">
        <x:v>2</x:v>
      </x:c>
      <x:c r="K32" s="25" t="n">
        <x:v>47</x:v>
      </x:c>
      <x:c r="L32" s="25" t="n">
        <x:v>0</x:v>
      </x:c>
      <x:c r="M32" s="25" t="n">
        <x:v>0</x:v>
      </x:c>
      <x:c r="N32" s="19" t="str">
        <x:v>https://www.instagram.com/p/DZ5DIQgFCMa/</x:v>
      </x:c>
      <x:c r="O32" s="19" t="str"/>
      <x:c r="P32" s="19" t="str">
        <x:v>Design-sale noise</x:v>
      </x:c>
      <x:c r="Q32" s="19" t="str">
        <x:v>No</x:v>
      </x:c>
      <x:c r="R32" s="19" t="str">
        <x:v>Skip</x:v>
      </x:c>
      <x:c r="S32" s="19" t="str">
        <x:v>No</x:v>
      </x:c>
      <x:c r="T32" s="22" t="str">
        <x:v>Design/mockup sale language; not consumer discussion of American Apparel.</x:v>
      </x:c>
    </x:row>
    <x:row r="33">
      <x:c r="A33" s="9" t="str">
        <x:v>Instagram</x:v>
      </x:c>
      <x:c r="B33" s="10" t="str">
        <x:v>IG hashtag</x:v>
      </x:c>
      <x:c r="C33" s="10" t="str">
        <x:v>3926616409493474544</x:v>
      </x:c>
      <x:c r="D33" s="16" t="n">
        <x:v>46197.57840277778</x:v>
      </x:c>
      <x:c r="E33" s="10" t="str">
        <x:v>voidworks.usa</x:v>
      </x:c>
      <x:c r="F33" s="10" t="str">
        <x:v>Sidecar</x:v>
      </x:c>
      <x:c r="G33" s="19" t="str">
        <x:v>sold, thank you!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V022 #americanapparel #streetwear #clothing #unitedstates #clothingbrand</x:v>
      </x:c>
      <x:c r="H33" s="19" t="str">
        <x:v>#americanapparel #streetwear #clothing #unitedstates #clothingbrand</x:v>
      </x:c>
      <x:c r="I33" s="19" t="str"/>
      <x:c r="J33" s="25" t="n">
        <x:v>2</x:v>
      </x:c>
      <x:c r="K33" s="25" t="n">
        <x:v>2</x:v>
      </x:c>
      <x:c r="L33" s="25" t="n">
        <x:v>0</x:v>
      </x:c>
      <x:c r="M33" s="25" t="n">
        <x:v>0</x:v>
      </x:c>
      <x:c r="N33" s="19" t="str">
        <x:v>https://www.instagram.com/p/DZ-JNIBFAzw/</x:v>
      </x:c>
      <x:c r="O33" s="19" t="str"/>
      <x:c r="P33" s="19" t="str">
        <x:v>Design-sale noise</x:v>
      </x:c>
      <x:c r="Q33" s="19" t="str">
        <x:v>No</x:v>
      </x:c>
      <x:c r="R33" s="19" t="str">
        <x:v>Skip</x:v>
      </x:c>
      <x:c r="S33" s="19" t="str">
        <x:v>No</x:v>
      </x:c>
      <x:c r="T33" s="22" t="str">
        <x:v>Design/mockup sale language; not consumer discussion of American Apparel.</x:v>
      </x:c>
    </x:row>
    <x:row r="34">
      <x:c r="A34" s="9" t="str">
        <x:v>Instagram</x:v>
      </x:c>
      <x:c r="B34" s="10" t="str">
        <x:v>IG hashtag</x:v>
      </x:c>
      <x:c r="C34" s="10" t="str">
        <x:v>3928141308330535750</x:v>
      </x:c>
      <x:c r="D34" s="16" t="n">
        <x:v>46199.68236111111</x:v>
      </x:c>
      <x:c r="E34" s="10" t="str">
        <x:v>andysdisaster</x:v>
      </x:c>
      <x:c r="F34" s="10" t="str">
        <x:v>Sidecar</x:v>
      </x:c>
      <x:c r="G34" s="19" t="str">
        <x:v>GTA Graphic Concept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34" s="19" t="str">
        <x:v>#americanapparel #streetwear #clothing #unitedstates #clothingbrand</x:v>
      </x:c>
      <x:c r="I34" s="19" t="str"/>
      <x:c r="J34" s="25" t="n">
        <x:v>2</x:v>
      </x:c>
      <x:c r="K34" s="25" t="n">
        <x:v>30</x:v>
      </x:c>
      <x:c r="L34" s="25" t="n">
        <x:v>0</x:v>
      </x:c>
      <x:c r="M34" s="25" t="n">
        <x:v>0</x:v>
      </x:c>
      <x:c r="N34" s="19" t="str">
        <x:v>https://www.instagram.com/p/DaDj7UulGtG/</x:v>
      </x:c>
      <x:c r="O34" s="19" t="str"/>
      <x:c r="P34" s="19" t="str">
        <x:v>Design-sale noise</x:v>
      </x:c>
      <x:c r="Q34" s="19" t="str">
        <x:v>No</x:v>
      </x:c>
      <x:c r="R34" s="19" t="str">
        <x:v>Skip</x:v>
      </x:c>
      <x:c r="S34" s="19" t="str">
        <x:v>No</x:v>
      </x:c>
      <x:c r="T34" s="22" t="str">
        <x:v>Design/mockup sale language; not consumer discussion of American Apparel.</x:v>
      </x:c>
    </x:row>
    <x:row r="35">
      <x:c r="A35" s="9" t="str">
        <x:v>Instagram</x:v>
      </x:c>
      <x:c r="B35" s="10" t="str">
        <x:v>IG hashtag</x:v>
      </x:c>
      <x:c r="C35" s="10" t="str">
        <x:v>3930204172297939990</x:v>
      </x:c>
      <x:c r="D35" s="16" t="n">
        <x:v>46202.52856481481</x:v>
      </x:c>
      <x:c r="E35" s="10" t="str">
        <x:v>culture_prjct</x:v>
      </x:c>
      <x:c r="F35" s="10" t="str">
        <x:v>Sidecar</x:v>
      </x:c>
      <x:c r="G35"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C02 #americanapparel #streetwear #clothing #unitedstates #clothingbrand</x:v>
      </x:c>
      <x:c r="H35" s="19" t="str">
        <x:v>#americanapparel #streetwear #clothing #unitedstates #clothingbrand</x:v>
      </x:c>
      <x:c r="I35" s="19" t="str"/>
      <x:c r="J35" s="25" t="n">
        <x:v>2</x:v>
      </x:c>
      <x:c r="K35" s="25" t="n">
        <x:v>4</x:v>
      </x:c>
      <x:c r="L35" s="25" t="n">
        <x:v>0</x:v>
      </x:c>
      <x:c r="M35" s="25" t="n">
        <x:v>0</x:v>
      </x:c>
      <x:c r="N35" s="19" t="str">
        <x:v>https://www.instagram.com/p/DaK498gk6wW/</x:v>
      </x:c>
      <x:c r="O35" s="19" t="str"/>
      <x:c r="P35" s="19" t="str">
        <x:v>Design-sale noise</x:v>
      </x:c>
      <x:c r="Q35" s="19" t="str">
        <x:v>No</x:v>
      </x:c>
      <x:c r="R35" s="19" t="str">
        <x:v>Skip</x:v>
      </x:c>
      <x:c r="S35" s="19" t="str">
        <x:v>No</x:v>
      </x:c>
      <x:c r="T35" s="22" t="str">
        <x:v>Design/mockup sale language; not consumer discussion of American Apparel.</x:v>
      </x:c>
    </x:row>
    <x:row r="36">
      <x:c r="A36" s="9" t="str">
        <x:v>Instagram</x:v>
      </x:c>
      <x:c r="B36" s="10" t="str">
        <x:v>IG hashtag</x:v>
      </x:c>
      <x:c r="C36" s="10" t="str">
        <x:v>3930351406914256439</x:v>
      </x:c>
      <x:c r="D36" s="16" t="n">
        <x:v>46202.73171296297</x:v>
      </x:c>
      <x:c r="E36" s="10" t="str">
        <x:v>andysdisaster</x:v>
      </x:c>
      <x:c r="F36" s="10" t="str">
        <x:v>Sidecar</x:v>
      </x:c>
      <x:c r="G36" s="19" t="str">
        <x:v>Bundle Pack 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36" s="19" t="str">
        <x:v>#americanapparel #streetwear #clothing #unitedstates #clothingbrand</x:v>
      </x:c>
      <x:c r="I36" s="19" t="str"/>
      <x:c r="J36" s="25" t="n">
        <x:v>2</x:v>
      </x:c>
      <x:c r="K36" s="25" t="n">
        <x:v>30</x:v>
      </x:c>
      <x:c r="L36" s="25" t="n">
        <x:v>0</x:v>
      </x:c>
      <x:c r="M36" s="25" t="n">
        <x:v>0</x:v>
      </x:c>
      <x:c r="N36" s="19" t="str">
        <x:v>https://www.instagram.com/p/DaLacfblL43/</x:v>
      </x:c>
      <x:c r="O36" s="19" t="str"/>
      <x:c r="P36" s="19" t="str">
        <x:v>Design-sale noise</x:v>
      </x:c>
      <x:c r="Q36" s="19" t="str">
        <x:v>No</x:v>
      </x:c>
      <x:c r="R36" s="19" t="str">
        <x:v>Skip</x:v>
      </x:c>
      <x:c r="S36" s="19" t="str">
        <x:v>No</x:v>
      </x:c>
      <x:c r="T36" s="22" t="str">
        <x:v>Design/mockup sale language; not consumer discussion of American Apparel.</x:v>
      </x:c>
    </x:row>
    <x:row r="37">
      <x:c r="A37" s="9" t="str">
        <x:v>Instagram</x:v>
      </x:c>
      <x:c r="B37" s="10" t="str">
        <x:v>IG hashtag</x:v>
      </x:c>
      <x:c r="C37" s="10" t="str">
        <x:v>3931023303603715302</x:v>
      </x:c>
      <x:c r="D37" s="16" t="n">
        <x:v>46203.65875</x:v>
      </x:c>
      <x:c r="E37" s="10" t="str">
        <x:v>andysdisaster</x:v>
      </x:c>
      <x:c r="F37" s="10" t="str">
        <x:v>Sidecar</x:v>
      </x:c>
      <x:c r="G37" s="19" t="str">
        <x:v>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37" s="19" t="str">
        <x:v>#americanapparel #streetwear #clothing #unitedstates #clothingbrand</x:v>
      </x:c>
      <x:c r="I37" s="19" t="str"/>
      <x:c r="J37" s="25" t="n">
        <x:v>2</x:v>
      </x:c>
      <x:c r="K37" s="25" t="n">
        <x:v>22</x:v>
      </x:c>
      <x:c r="L37" s="25" t="n">
        <x:v>0</x:v>
      </x:c>
      <x:c r="M37" s="25" t="n">
        <x:v>0</x:v>
      </x:c>
      <x:c r="N37" s="19" t="str">
        <x:v>https://www.instagram.com/p/DaNzN3_FPzm/</x:v>
      </x:c>
      <x:c r="O37" s="19" t="str"/>
      <x:c r="P37" s="19" t="str">
        <x:v>Design-sale noise</x:v>
      </x:c>
      <x:c r="Q37" s="19" t="str">
        <x:v>No</x:v>
      </x:c>
      <x:c r="R37" s="19" t="str">
        <x:v>Skip</x:v>
      </x:c>
      <x:c r="S37" s="19" t="str">
        <x:v>No</x:v>
      </x:c>
      <x:c r="T37" s="22" t="str">
        <x:v>Design/mockup sale language; not consumer discussion of American Apparel.</x:v>
      </x:c>
    </x:row>
    <x:row r="38">
      <x:c r="A38" s="9" t="str">
        <x:v>Instagram</x:v>
      </x:c>
      <x:c r="B38" s="10" t="str">
        <x:v>IG hashtag</x:v>
      </x:c>
      <x:c r="C38" s="10" t="str">
        <x:v>3931031639766030408</x:v>
      </x:c>
      <x:c r="D38" s="16" t="n">
        <x:v>46203.67025462963</x:v>
      </x:c>
      <x:c r="E38" s="10" t="str">
        <x:v>culture_prjct</x:v>
      </x:c>
      <x:c r="F38" s="10" t="str">
        <x:v>Sidecar</x:v>
      </x:c>
      <x:c r="G38"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C03 #americanapparel #streetwear #clothing #unitedstates #clothingbrand</x:v>
      </x:c>
      <x:c r="H38" s="19" t="str">
        <x:v>#americanapparel #streetwear #clothing #unitedstates #clothingbrand</x:v>
      </x:c>
      <x:c r="I38" s="19" t="str"/>
      <x:c r="J38" s="25" t="n">
        <x:v>2</x:v>
      </x:c>
      <x:c r="K38" s="25" t="n">
        <x:v>6</x:v>
      </x:c>
      <x:c r="L38" s="25" t="n">
        <x:v>0</x:v>
      </x:c>
      <x:c r="M38" s="25" t="n">
        <x:v>0</x:v>
      </x:c>
      <x:c r="N38" s="19" t="str">
        <x:v>https://www.instagram.com/p/DaN1HLpE1hI/</x:v>
      </x:c>
      <x:c r="O38" s="19" t="str"/>
      <x:c r="P38" s="19" t="str">
        <x:v>Design-sale noise</x:v>
      </x:c>
      <x:c r="Q38" s="19" t="str">
        <x:v>No</x:v>
      </x:c>
      <x:c r="R38" s="19" t="str">
        <x:v>Skip</x:v>
      </x:c>
      <x:c r="S38" s="19" t="str">
        <x:v>No</x:v>
      </x:c>
      <x:c r="T38" s="22" t="str">
        <x:v>Design/mockup sale language; not consumer discussion of American Apparel.</x:v>
      </x:c>
    </x:row>
    <x:row r="39">
      <x:c r="A39" s="9" t="str">
        <x:v>Instagram</x:v>
      </x:c>
      <x:c r="B39" s="10" t="str">
        <x:v>IG hashtag</x:v>
      </x:c>
      <x:c r="C39" s="10" t="str">
        <x:v>3918180195757149802</x:v>
      </x:c>
      <x:c r="D39" s="16" t="n">
        <x:v>46185.93864583333</x:v>
      </x:c>
      <x:c r="E39" s="10" t="str">
        <x:v>godin.jpg</x:v>
      </x:c>
      <x:c r="F39" s="10" t="str">
        <x:v>Sidecar</x:v>
      </x:c>
      <x:c r="G39"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39" s="19" t="str">
        <x:v>#designforsale #clothingbrand #designs #streetwearbrand #streetwear #streetweardesigner #usastreetwear #americanapparel #urbanfashion #fashiondesigners</x:v>
      </x:c>
      <x:c r="I39" s="19" t="str"/>
      <x:c r="J39" s="25" t="n">
        <x:v>1</x:v>
      </x:c>
      <x:c r="K39" s="25" t="n">
        <x:v>3</x:v>
      </x:c>
      <x:c r="L39" s="25" t="n">
        <x:v>0</x:v>
      </x:c>
      <x:c r="M39" s="25" t="n">
        <x:v>0</x:v>
      </x:c>
      <x:c r="N39" s="19" t="str">
        <x:v>https://www.instagram.com/p/DZgLCDuE05q/</x:v>
      </x:c>
      <x:c r="O39" s="19" t="str"/>
      <x:c r="P39" s="19" t="str">
        <x:v>Design-sale noise</x:v>
      </x:c>
      <x:c r="Q39" s="19" t="str">
        <x:v>No</x:v>
      </x:c>
      <x:c r="R39" s="19" t="str">
        <x:v>Skip</x:v>
      </x:c>
      <x:c r="S39" s="19" t="str">
        <x:v>No</x:v>
      </x:c>
      <x:c r="T39" s="22" t="str">
        <x:v>Design/mockup sale language; not consumer discussion of American Apparel.</x:v>
      </x:c>
    </x:row>
    <x:row r="40">
      <x:c r="A40" s="9" t="str">
        <x:v>Instagram</x:v>
      </x:c>
      <x:c r="B40" s="10" t="str">
        <x:v>IG hashtag</x:v>
      </x:c>
      <x:c r="C40" s="10" t="str">
        <x:v>3918238897600093478</x:v>
      </x:c>
      <x:c r="D40" s="16" t="n">
        <x:v>46186.01962962963</x:v>
      </x:c>
      <x:c r="E40" s="10" t="str">
        <x:v>voidworks.usa</x:v>
      </x:c>
      <x:c r="F40" s="10" t="str">
        <x:v>Sidecar</x:v>
      </x:c>
      <x:c r="G40"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V010 #americanapparel #streetwear #clothing #unitedstates #clothingbrand</x:v>
      </x:c>
      <x:c r="H40" s="19" t="str">
        <x:v>#americanapparel #streetwear #clothing #unitedstates #clothingbrand</x:v>
      </x:c>
      <x:c r="I40" s="19" t="str"/>
      <x:c r="J40" s="25" t="n">
        <x:v>1</x:v>
      </x:c>
      <x:c r="K40" s="25" t="n">
        <x:v>1</x:v>
      </x:c>
      <x:c r="L40" s="25" t="n">
        <x:v>0</x:v>
      </x:c>
      <x:c r="M40" s="25" t="n">
        <x:v>0</x:v>
      </x:c>
      <x:c r="N40" s="19" t="str">
        <x:v>https://www.instagram.com/p/DZgYYSEkl0m/</x:v>
      </x:c>
      <x:c r="O40" s="19" t="str"/>
      <x:c r="P40" s="19" t="str">
        <x:v>Design-sale noise</x:v>
      </x:c>
      <x:c r="Q40" s="19" t="str">
        <x:v>No</x:v>
      </x:c>
      <x:c r="R40" s="19" t="str">
        <x:v>Skip</x:v>
      </x:c>
      <x:c r="S40" s="19" t="str">
        <x:v>No</x:v>
      </x:c>
      <x:c r="T40" s="22" t="str">
        <x:v>Design/mockup sale language; not consumer discussion of American Apparel.</x:v>
      </x:c>
    </x:row>
    <x:row r="41">
      <x:c r="A41" s="9" t="str">
        <x:v>Instagram</x:v>
      </x:c>
      <x:c r="B41" s="10" t="str">
        <x:v>IG hashtag</x:v>
      </x:c>
      <x:c r="C41" s="10" t="str">
        <x:v>3918589617323160295</x:v>
      </x:c>
      <x:c r="D41" s="16" t="n">
        <x:v>46186.503541666665</x:v>
      </x:c>
      <x:c r="E41" s="10" t="str">
        <x:v>andysdisaster</x:v>
      </x:c>
      <x:c r="F41" s="10" t="str">
        <x:v>Sidecar</x:v>
      </x:c>
      <x:c r="G41" s="19" t="str">
        <x:v>Graphic Design Streetwear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41" s="19" t="str">
        <x:v>#americanapparel #streetwear #clothing #unitedstates #clothingbrand</x:v>
      </x:c>
      <x:c r="I41" s="19" t="str"/>
      <x:c r="J41" s="25" t="n">
        <x:v>1</x:v>
      </x:c>
      <x:c r="K41" s="25" t="n">
        <x:v>30</x:v>
      </x:c>
      <x:c r="L41" s="25" t="n">
        <x:v>0</x:v>
      </x:c>
      <x:c r="M41" s="25" t="n">
        <x:v>0</x:v>
      </x:c>
      <x:c r="N41" s="19" t="str">
        <x:v>https://www.instagram.com/p/DZhoH7RFLLn/</x:v>
      </x:c>
      <x:c r="O41" s="19" t="str"/>
      <x:c r="P41" s="19" t="str">
        <x:v>Design-sale noise</x:v>
      </x:c>
      <x:c r="Q41" s="19" t="str">
        <x:v>No</x:v>
      </x:c>
      <x:c r="R41" s="19" t="str">
        <x:v>Skip</x:v>
      </x:c>
      <x:c r="S41" s="19" t="str">
        <x:v>No</x:v>
      </x:c>
      <x:c r="T41" s="22" t="str">
        <x:v>Design/mockup sale language; not consumer discussion of American Apparel.</x:v>
      </x:c>
    </x:row>
    <x:row r="42">
      <x:c r="A42" s="9" t="str">
        <x:v>Instagram</x:v>
      </x:c>
      <x:c r="B42" s="10" t="str">
        <x:v>IG hashtag</x:v>
      </x:c>
      <x:c r="C42" s="10" t="str">
        <x:v>3919450525062633781</x:v>
      </x:c>
      <x:c r="D42" s="16" t="n">
        <x:v>46187.69136574074</x:v>
      </x:c>
      <x:c r="E42" s="10" t="str">
        <x:v>andysdisaster</x:v>
      </x:c>
      <x:c r="F42" s="10" t="str">
        <x:v>Sidecar</x:v>
      </x:c>
      <x:c r="G42" s="19" t="str">
        <x:v>DESIGN AVAILABLE FOR SALE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42" s="19" t="str">
        <x:v>#americanapparel #streetwear #clothing #unitedstates #clothingbrand</x:v>
      </x:c>
      <x:c r="I42" s="19" t="str"/>
      <x:c r="J42" s="25" t="n">
        <x:v>1</x:v>
      </x:c>
      <x:c r="K42" s="25" t="n">
        <x:v>34</x:v>
      </x:c>
      <x:c r="L42" s="25" t="n">
        <x:v>0</x:v>
      </x:c>
      <x:c r="M42" s="25" t="n">
        <x:v>0</x:v>
      </x:c>
      <x:c r="N42" s="19" t="str">
        <x:v>https://www.instagram.com/p/DZkr3yFE5k1/</x:v>
      </x:c>
      <x:c r="O42" s="19" t="str"/>
      <x:c r="P42" s="19" t="str">
        <x:v>Design-sale noise</x:v>
      </x:c>
      <x:c r="Q42" s="19" t="str">
        <x:v>No</x:v>
      </x:c>
      <x:c r="R42" s="19" t="str">
        <x:v>Skip</x:v>
      </x:c>
      <x:c r="S42" s="19" t="str">
        <x:v>No</x:v>
      </x:c>
      <x:c r="T42" s="22" t="str">
        <x:v>Design/mockup sale language; not consumer discussion of American Apparel.</x:v>
      </x:c>
    </x:row>
    <x:row r="43">
      <x:c r="A43" s="9" t="str">
        <x:v>Instagram</x:v>
      </x:c>
      <x:c r="B43" s="10" t="str">
        <x:v>IG hashtag</x:v>
      </x:c>
      <x:c r="C43" s="10" t="str">
        <x:v>3920486718680395728</x:v>
      </x:c>
      <x:c r="D43" s="16" t="n">
        <x:v>46189.121041666665</x:v>
      </x:c>
      <x:c r="E43" s="10" t="str">
        <x:v>voidworks.usa</x:v>
      </x:c>
      <x:c r="F43" s="10" t="str">
        <x:v>Sidecar</x:v>
      </x:c>
      <x:c r="G43" s="19" t="str">
        <x:v>sold, thank you!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V013 #americanapparel #streetwear #clothing #unitedstates #clothingbrand</x:v>
      </x:c>
      <x:c r="H43" s="19" t="str">
        <x:v>#americanapparel #streetwear #clothing #unitedstates #clothingbrand</x:v>
      </x:c>
      <x:c r="I43" s="19" t="str"/>
      <x:c r="J43" s="25" t="n">
        <x:v>1</x:v>
      </x:c>
      <x:c r="K43" s="25" t="n">
        <x:v>1</x:v>
      </x:c>
      <x:c r="L43" s="25" t="n">
        <x:v>0</x:v>
      </x:c>
      <x:c r="M43" s="25" t="n">
        <x:v>0</x:v>
      </x:c>
      <x:c r="N43" s="19" t="str">
        <x:v>https://www.instagram.com/p/DZoXeYllO_Q/</x:v>
      </x:c>
      <x:c r="O43" s="19" t="str"/>
      <x:c r="P43" s="19" t="str">
        <x:v>Design-sale noise</x:v>
      </x:c>
      <x:c r="Q43" s="19" t="str">
        <x:v>No</x:v>
      </x:c>
      <x:c r="R43" s="19" t="str">
        <x:v>Skip</x:v>
      </x:c>
      <x:c r="S43" s="19" t="str">
        <x:v>No</x:v>
      </x:c>
      <x:c r="T43" s="22" t="str">
        <x:v>Design/mockup sale language; not consumer discussion of American Apparel.</x:v>
      </x:c>
    </x:row>
    <x:row r="44">
      <x:c r="A44" s="9" t="str">
        <x:v>Instagram</x:v>
      </x:c>
      <x:c r="B44" s="10" t="str">
        <x:v>IG hashtag</x:v>
      </x:c>
      <x:c r="C44" s="10" t="str">
        <x:v>3920948973632380148</x:v>
      </x:c>
      <x:c r="D44" s="16" t="n">
        <x:v>46189.75892361111</x:v>
      </x:c>
      <x:c r="E44" s="10" t="str">
        <x:v>bezirlane.std</x:v>
      </x:c>
      <x:c r="F44" s="10" t="str">
        <x:v>Image</x:v>
      </x:c>
      <x:c r="G44" s="19" t="str">
        <x:v>DESIGN AVAILABLE FOR SALE Tap in via DM to secure yours 🛒 • Fully customizable text &amp; color options • Premium graphic design ready for any garment • Delivered in high-resolution PNG &amp; PSD files • Trusted by multiple brands &amp; international clients • Open for custom logo, merch &amp; full branding requests Every design is made with quality and originality in mind. Displayed brand is only a sample — your own branding will be added after purchase. Appreciate everyone who continues to support and trust our work. 🖤 #streetwear #clothingbrand #graphicdesign #fashion #americanapparel</x:v>
      </x:c>
      <x:c r="H44" s="19" t="str">
        <x:v>#streetwear #clothingbrand #graphicdesign #fashion #americanapparel</x:v>
      </x:c>
      <x:c r="I44" s="19" t="str"/>
      <x:c r="J44" s="25" t="n">
        <x:v>1</x:v>
      </x:c>
      <x:c r="K44" s="25" t="n">
        <x:v>4</x:v>
      </x:c>
      <x:c r="L44" s="25" t="n">
        <x:v>0</x:v>
      </x:c>
      <x:c r="M44" s="25" t="n">
        <x:v>0</x:v>
      </x:c>
      <x:c r="N44" s="19" t="str">
        <x:v>https://www.instagram.com/p/DZqAlFDylz0/</x:v>
      </x:c>
      <x:c r="O44" s="19" t="str"/>
      <x:c r="P44" s="19" t="str">
        <x:v>Design-sale noise</x:v>
      </x:c>
      <x:c r="Q44" s="19" t="str">
        <x:v>No</x:v>
      </x:c>
      <x:c r="R44" s="19" t="str">
        <x:v>Skip</x:v>
      </x:c>
      <x:c r="S44" s="19" t="str">
        <x:v>No</x:v>
      </x:c>
      <x:c r="T44" s="22" t="str">
        <x:v>Design/mockup sale language; not consumer discussion of American Apparel.</x:v>
      </x:c>
    </x:row>
    <x:row r="45">
      <x:c r="A45" s="9" t="str">
        <x:v>Instagram</x:v>
      </x:c>
      <x:c r="B45" s="10" t="str">
        <x:v>IG hashtag</x:v>
      </x:c>
      <x:c r="C45" s="10" t="str">
        <x:v>3921478041960963262</x:v>
      </x:c>
      <x:c r="D45" s="16" t="n">
        <x:v>46190.48880787037</x:v>
      </x:c>
      <x:c r="E45" s="10" t="str">
        <x:v>sixsensestudio.id</x:v>
      </x:c>
      <x:c r="F45" s="10" t="str">
        <x:v>Sidecar</x:v>
      </x:c>
      <x:c r="G45" s="19" t="str">
        <x:v>(AVAILABLE ) DESIGN FOR SALE🚨 Want this vibe for your brand? Slide to see other, then hit me on DM! [CODE: 008] • Exclusive for one buyer • All text can be changed • Colors can be changed • Digital Product, PNG/PSD Files #designforsales #clothingdesigner #graphicdesigner #americanapparel #streetweardesign</x:v>
      </x:c>
      <x:c r="H45" s="19" t="str">
        <x:v>#designforsales #clothingdesigner #graphicdesigner #americanapparel #streetweardesign</x:v>
      </x:c>
      <x:c r="I45" s="19" t="str"/>
      <x:c r="J45" s="25" t="n">
        <x:v>1</x:v>
      </x:c>
      <x:c r="K45" s="25" t="n">
        <x:v>4</x:v>
      </x:c>
      <x:c r="L45" s="25" t="n">
        <x:v>0</x:v>
      </x:c>
      <x:c r="M45" s="25" t="n">
        <x:v>0</x:v>
      </x:c>
      <x:c r="N45" s="19" t="str">
        <x:v>https://www.instagram.com/p/DZr44CVk9y-/</x:v>
      </x:c>
      <x:c r="O45" s="19" t="str"/>
      <x:c r="P45" s="19" t="str">
        <x:v>Design-sale noise</x:v>
      </x:c>
      <x:c r="Q45" s="19" t="str">
        <x:v>No</x:v>
      </x:c>
      <x:c r="R45" s="19" t="str">
        <x:v>Skip</x:v>
      </x:c>
      <x:c r="S45" s="19" t="str">
        <x:v>No</x:v>
      </x:c>
      <x:c r="T45" s="22" t="str">
        <x:v>Design/mockup sale language; not consumer discussion of American Apparel.</x:v>
      </x:c>
    </x:row>
    <x:row r="46">
      <x:c r="A46" s="9" t="str">
        <x:v>Instagram</x:v>
      </x:c>
      <x:c r="B46" s="10" t="str">
        <x:v>IG hashtag</x:v>
      </x:c>
      <x:c r="C46" s="10" t="str">
        <x:v>3921490357846729075</x:v>
      </x:c>
      <x:c r="D46" s="16" t="n">
        <x:v>46190.50579861111</x:v>
      </x:c>
      <x:c r="E46" s="10" t="str">
        <x:v>mysticmuse.dsg</x:v>
      </x:c>
      <x:c r="F46" s="10" t="str">
        <x:v>Sidecar</x:v>
      </x:c>
      <x:c r="G46" s="19" t="str">
        <x:v>DESIGN FOR SALE 🔥 Include Files : ▫️Source Files (PSD) ▫️PNG (no background) ▫️JPEG/JPG (HD) ✅ Text and Color Can Be Changed ✅ DM me for Price ✅ HD (5000x5000px 300dpi) ✅ Exclusive for one buyer only!! CODE : 400</x:v>
      </x:c>
      <x:c r="H46" s="19" t="str"/>
      <x:c r="I46" s="19" t="str"/>
      <x:c r="J46" s="25" t="n">
        <x:v>1</x:v>
      </x:c>
      <x:c r="K46" s="25" t="n">
        <x:v>3</x:v>
      </x:c>
      <x:c r="L46" s="25" t="n">
        <x:v>0</x:v>
      </x:c>
      <x:c r="M46" s="25" t="n">
        <x:v>0</x:v>
      </x:c>
      <x:c r="N46" s="19" t="str">
        <x:v>https://www.instagram.com/p/DZr7rQZkuFz/</x:v>
      </x:c>
      <x:c r="O46" s="19" t="str"/>
      <x:c r="P46" s="19" t="str">
        <x:v>Design-sale noise</x:v>
      </x:c>
      <x:c r="Q46" s="19" t="str">
        <x:v>No</x:v>
      </x:c>
      <x:c r="R46" s="19" t="str">
        <x:v>Skip</x:v>
      </x:c>
      <x:c r="S46" s="19" t="str">
        <x:v>No</x:v>
      </x:c>
      <x:c r="T46" s="22" t="str">
        <x:v>Design/mockup sale language; not consumer discussion of American Apparel.</x:v>
      </x:c>
    </x:row>
    <x:row r="47">
      <x:c r="A47" s="9" t="str">
        <x:v>Instagram</x:v>
      </x:c>
      <x:c r="B47" s="10" t="str">
        <x:v>IG hashtag</x:v>
      </x:c>
      <x:c r="C47" s="10" t="str">
        <x:v>3921526677105589828</x:v>
      </x:c>
      <x:c r="D47" s="16" t="n">
        <x:v>46190.55590277778</x:v>
      </x:c>
      <x:c r="E47" s="10" t="str">
        <x:v>bezirlane.std</x:v>
      </x:c>
      <x:c r="F47" s="10" t="str">
        <x:v>Sidecar</x:v>
      </x:c>
      <x:c r="G47" s="19" t="str">
        <x:v>DESIGN AVAILABLE FOR SALE Tap in via DM to secure yours 🛒 • Fully customizable text &amp; color options • Premium graphic design ready for any garment • Delivered in high-resolution PNG &amp; PSD files • Trusted by multiple brands &amp; international clients • Open for custom logo, merch &amp; full branding requests Every design is made with quality and originality in mind. Displayed brand is only a sample — your own branding will be added after purchase. Appreciate everyone who continues to support and trust our work. 🖤 #streetwear #clothingbrand #graphicdesign #fashion #americanapparel</x:v>
      </x:c>
      <x:c r="H47" s="19" t="str">
        <x:v>#streetwear #clothingbrand #graphicdesign #fashion #americanapparel</x:v>
      </x:c>
      <x:c r="I47" s="19" t="str"/>
      <x:c r="J47" s="25" t="n">
        <x:v>1</x:v>
      </x:c>
      <x:c r="K47" s="25" t="n">
        <x:v>2</x:v>
      </x:c>
      <x:c r="L47" s="25" t="n">
        <x:v>0</x:v>
      </x:c>
      <x:c r="M47" s="25" t="n">
        <x:v>0</x:v>
      </x:c>
      <x:c r="N47" s="19" t="str">
        <x:v>https://www.instagram.com/p/DZsD7xWGL5E/</x:v>
      </x:c>
      <x:c r="O47" s="19" t="str"/>
      <x:c r="P47" s="19" t="str">
        <x:v>Design-sale noise</x:v>
      </x:c>
      <x:c r="Q47" s="19" t="str">
        <x:v>No</x:v>
      </x:c>
      <x:c r="R47" s="19" t="str">
        <x:v>Skip</x:v>
      </x:c>
      <x:c r="S47" s="19" t="str">
        <x:v>No</x:v>
      </x:c>
      <x:c r="T47" s="22" t="str">
        <x:v>Design/mockup sale language; not consumer discussion of American Apparel.</x:v>
      </x:c>
    </x:row>
    <x:row r="48">
      <x:c r="A48" s="9" t="str">
        <x:v>Instagram</x:v>
      </x:c>
      <x:c r="B48" s="10" t="str">
        <x:v>IG hashtag</x:v>
      </x:c>
      <x:c r="C48" s="10" t="str">
        <x:v>3922200248206397311</x:v>
      </x:c>
      <x:c r="D48" s="16" t="n">
        <x:v>46191.48541666667</x:v>
      </x:c>
      <x:c r="E48" s="10" t="str">
        <x:v>mysticmuse.dsg</x:v>
      </x:c>
      <x:c r="F48" s="10" t="str">
        <x:v>Image</x:v>
      </x:c>
      <x:c r="G48" s="19" t="str">
        <x:v>DESIGN FOR SALE 🔥 Include Files : ▫️Source Files (PSD) ▫️PNG (no background) ▫️JPEG/JPG (HD) ✅ Text and Color Can Be Changed ✅ DM me for Price ✅ HD (5000x5000px 300dpi) ✅ Exclusive for one buyer only!! CODE : 402</x:v>
      </x:c>
      <x:c r="H48" s="19" t="str"/>
      <x:c r="I48" s="19" t="str"/>
      <x:c r="J48" s="25" t="n">
        <x:v>1</x:v>
      </x:c>
      <x:c r="K48" s="25" t="n">
        <x:v>2</x:v>
      </x:c>
      <x:c r="L48" s="25" t="n">
        <x:v>0</x:v>
      </x:c>
      <x:c r="M48" s="25" t="n">
        <x:v>0</x:v>
      </x:c>
      <x:c r="N48" s="19" t="str">
        <x:v>https://www.instagram.com/p/DZudFhUSo9_/</x:v>
      </x:c>
      <x:c r="O48" s="19" t="str"/>
      <x:c r="P48" s="19" t="str">
        <x:v>Design-sale noise</x:v>
      </x:c>
      <x:c r="Q48" s="19" t="str">
        <x:v>No</x:v>
      </x:c>
      <x:c r="R48" s="19" t="str">
        <x:v>Skip</x:v>
      </x:c>
      <x:c r="S48" s="19" t="str">
        <x:v>No</x:v>
      </x:c>
      <x:c r="T48" s="22" t="str">
        <x:v>Design/mockup sale language; not consumer discussion of American Apparel.</x:v>
      </x:c>
    </x:row>
    <x:row r="49">
      <x:c r="A49" s="9" t="str">
        <x:v>Instagram</x:v>
      </x:c>
      <x:c r="B49" s="10" t="str">
        <x:v>IG hashtag</x:v>
      </x:c>
      <x:c r="C49" s="10" t="str">
        <x:v>3922239968849191137</x:v>
      </x:c>
      <x:c r="D49" s="16" t="n">
        <x:v>46191.54005787037</x:v>
      </x:c>
      <x:c r="E49" s="10" t="str">
        <x:v>bezirlane.std</x:v>
      </x:c>
      <x:c r="F49" s="10" t="str">
        <x:v>Sidecar</x:v>
      </x:c>
      <x:c r="G49" s="19" t="str">
        <x:v>DESIGN AVAILABLE FOR SALE Tap in via DM to secure yours 🛒 • Fully customizable text &amp; color options • Premium graphic design ready for any garment • Delivered in high-resolution PNG &amp; PSD files • Trusted by multiple brands &amp; international clients • Open for custom logo, merch &amp; full branding requests Every design is made with quality and originality in mind. Displayed brand is only a sample — your own branding will be added after purchase. Appreciate everyone who continues to support and trust our work. 🖤 #streetwear #clothingbrand #graphicdesign #fashion #americanapparel</x:v>
      </x:c>
      <x:c r="H49" s="19" t="str">
        <x:v>#streetwear #clothingbrand #graphicdesign #fashion #americanapparel</x:v>
      </x:c>
      <x:c r="I49" s="19" t="str"/>
      <x:c r="J49" s="25" t="n">
        <x:v>1</x:v>
      </x:c>
      <x:c r="K49" s="25" t="n">
        <x:v>3</x:v>
      </x:c>
      <x:c r="L49" s="25" t="n">
        <x:v>0</x:v>
      </x:c>
      <x:c r="M49" s="25" t="n">
        <x:v>0</x:v>
      </x:c>
      <x:c r="N49" s="19" t="str">
        <x:v>https://www.instagram.com/p/DZumHiDGGDh/</x:v>
      </x:c>
      <x:c r="O49" s="19" t="str"/>
      <x:c r="P49" s="19" t="str">
        <x:v>Design-sale noise</x:v>
      </x:c>
      <x:c r="Q49" s="19" t="str">
        <x:v>No</x:v>
      </x:c>
      <x:c r="R49" s="19" t="str">
        <x:v>Skip</x:v>
      </x:c>
      <x:c r="S49" s="19" t="str">
        <x:v>No</x:v>
      </x:c>
      <x:c r="T49" s="22" t="str">
        <x:v>Design/mockup sale language; not consumer discussion of American Apparel.</x:v>
      </x:c>
    </x:row>
    <x:row r="50">
      <x:c r="A50" s="9" t="str">
        <x:v>Instagram</x:v>
      </x:c>
      <x:c r="B50" s="10" t="str">
        <x:v>IG hashtag</x:v>
      </x:c>
      <x:c r="C50" s="10" t="str">
        <x:v>3922348673615401916</x:v>
      </x:c>
      <x:c r="D50" s="16" t="n">
        <x:v>46191.690046296295</x:v>
      </x:c>
      <x:c r="E50" s="10" t="str">
        <x:v>mysticmuse.dsg</x:v>
      </x:c>
      <x:c r="F50" s="10" t="str">
        <x:v>Sidecar</x:v>
      </x:c>
      <x:c r="G50" s="19" t="str">
        <x:v>DESIGN FOR SALE 🔥 Include Files : ▫️Source Files (PSD) ▫️PNG (no background) ▫️JPEG/JPG (HD) ✅ Text and Color Can Be Changed ✅ DM me for Price ✅ HD (5000x5000px 300dpi) ✅ Exclusive for one buyer only!! CODE : 403</x:v>
      </x:c>
      <x:c r="H50" s="19" t="str"/>
      <x:c r="I50" s="19" t="str"/>
      <x:c r="J50" s="25" t="n">
        <x:v>1</x:v>
      </x:c>
      <x:c r="K50" s="25" t="n">
        <x:v>2</x:v>
      </x:c>
      <x:c r="L50" s="25" t="n">
        <x:v>0</x:v>
      </x:c>
      <x:c r="M50" s="25" t="n">
        <x:v>0</x:v>
      </x:c>
      <x:c r="N50" s="19" t="str">
        <x:v>https://www.instagram.com/p/DZu-1ZQEhO8/</x:v>
      </x:c>
      <x:c r="O50" s="19" t="str"/>
      <x:c r="P50" s="19" t="str">
        <x:v>Design-sale noise</x:v>
      </x:c>
      <x:c r="Q50" s="19" t="str">
        <x:v>No</x:v>
      </x:c>
      <x:c r="R50" s="19" t="str">
        <x:v>Skip</x:v>
      </x:c>
      <x:c r="S50" s="19" t="str">
        <x:v>No</x:v>
      </x:c>
      <x:c r="T50" s="22" t="str">
        <x:v>Design/mockup sale language; not consumer discussion of American Apparel.</x:v>
      </x:c>
    </x:row>
    <x:row r="51">
      <x:c r="A51" s="9" t="str">
        <x:v>Instagram</x:v>
      </x:c>
      <x:c r="B51" s="10" t="str">
        <x:v>IG hashtag</x:v>
      </x:c>
      <x:c r="C51" s="10" t="str">
        <x:v>3922905381236519106</x:v>
      </x:c>
      <x:c r="D51" s="16" t="n">
        <x:v>46192.45815972222</x:v>
      </x:c>
      <x:c r="E51" s="10" t="str">
        <x:v>mysticmuse.dsg</x:v>
      </x:c>
      <x:c r="F51" s="10" t="str">
        <x:v>Sidecar</x:v>
      </x:c>
      <x:c r="G51" s="19" t="str">
        <x:v>DESIGN FOR SALE 🔥 Include Files : ▫️Source Files (PSD) ▫️PNG (no background) ▫️JPEG/JPG (HD) ✅ Text and Color Can Be Changed ✅ DM me for Price ✅ HD (5000x5000px 300dpi) ✅ Exclusive for one buyer only!! CODE : 404</x:v>
      </x:c>
      <x:c r="H51" s="19" t="str"/>
      <x:c r="I51" s="19" t="str"/>
      <x:c r="J51" s="25" t="n">
        <x:v>1</x:v>
      </x:c>
      <x:c r="K51" s="25" t="n">
        <x:v>2</x:v>
      </x:c>
      <x:c r="L51" s="25" t="n">
        <x:v>0</x:v>
      </x:c>
      <x:c r="M51" s="25" t="n">
        <x:v>0</x:v>
      </x:c>
      <x:c r="N51" s="19" t="str">
        <x:v>https://www.instagram.com/p/DZw9ajoEjDC/</x:v>
      </x:c>
      <x:c r="O51" s="19" t="str"/>
      <x:c r="P51" s="19" t="str">
        <x:v>Design-sale noise</x:v>
      </x:c>
      <x:c r="Q51" s="19" t="str">
        <x:v>No</x:v>
      </x:c>
      <x:c r="R51" s="19" t="str">
        <x:v>Skip</x:v>
      </x:c>
      <x:c r="S51" s="19" t="str">
        <x:v>No</x:v>
      </x:c>
      <x:c r="T51" s="22" t="str">
        <x:v>Design/mockup sale language; not consumer discussion of American Apparel.</x:v>
      </x:c>
    </x:row>
    <x:row r="52">
      <x:c r="A52" s="9" t="str">
        <x:v>Instagram</x:v>
      </x:c>
      <x:c r="B52" s="10" t="str">
        <x:v>IG hashtag</x:v>
      </x:c>
      <x:c r="C52" s="10" t="str">
        <x:v>3923282141886581311</x:v>
      </x:c>
      <x:c r="D52" s="16" t="n">
        <x:v>46192.978101851855</x:v>
      </x:c>
      <x:c r="E52" s="10" t="str">
        <x:v>mysticmuse.dsg</x:v>
      </x:c>
      <x:c r="F52" s="10" t="str">
        <x:v>Image</x:v>
      </x:c>
      <x:c r="G52" s="19" t="str">
        <x:v>DESIGN FOR SALE 🔥 Include Files : ▫️Source Files (PSD) ▫️PNG (no background) ▫️JPEG/JPG (HD) ✅ Text and Color Can Be Changed ✅ DM me for Price ✅ HD (5000x5000px 300dpi) ✅ Exclusive for one buyer only!! CODE : 405</x:v>
      </x:c>
      <x:c r="H52" s="19" t="str"/>
      <x:c r="I52" s="19" t="str"/>
      <x:c r="J52" s="25" t="n">
        <x:v>1</x:v>
      </x:c>
      <x:c r="K52" s="25" t="n">
        <x:v>1</x:v>
      </x:c>
      <x:c r="L52" s="25" t="n">
        <x:v>0</x:v>
      </x:c>
      <x:c r="M52" s="25" t="n">
        <x:v>0</x:v>
      </x:c>
      <x:c r="N52" s="19" t="str">
        <x:v>https://www.instagram.com/p/DZyTFJUyIo_/</x:v>
      </x:c>
      <x:c r="O52" s="19" t="str"/>
      <x:c r="P52" s="19" t="str">
        <x:v>Design-sale noise</x:v>
      </x:c>
      <x:c r="Q52" s="19" t="str">
        <x:v>No</x:v>
      </x:c>
      <x:c r="R52" s="19" t="str">
        <x:v>Skip</x:v>
      </x:c>
      <x:c r="S52" s="19" t="str">
        <x:v>No</x:v>
      </x:c>
      <x:c r="T52" s="22" t="str">
        <x:v>Design/mockup sale language; not consumer discussion of American Apparel.</x:v>
      </x:c>
    </x:row>
    <x:row r="53">
      <x:c r="A53" s="9" t="str">
        <x:v>Instagram</x:v>
      </x:c>
      <x:c r="B53" s="10" t="str">
        <x:v>IG hashtag</x:v>
      </x:c>
      <x:c r="C53" s="10" t="str">
        <x:v>3924568112657680857</x:v>
      </x:c>
      <x:c r="D53" s="16" t="n">
        <x:v>46194.75240740741</x:v>
      </x:c>
      <x:c r="E53" s="10" t="str">
        <x:v>mysticmuse.dsg</x:v>
      </x:c>
      <x:c r="F53" s="10" t="str">
        <x:v>Image</x:v>
      </x:c>
      <x:c r="G53" s="19" t="str">
        <x:v>DESIGN FOR SALE 🔥 Include Files : ▫️Source Files (PSD) ▫️PNG (no background) ▫️JPEG/JPG (HD) ✅ Text and Color Can Be Changed ✅ DM me for Price ✅ HD (5000x5000px 300dpi) ✅ Exclusive for one buyer only!! CODE : 408</x:v>
      </x:c>
      <x:c r="H53" s="19" t="str"/>
      <x:c r="I53" s="19" t="str"/>
      <x:c r="J53" s="25" t="n">
        <x:v>1</x:v>
      </x:c>
      <x:c r="K53" s="25" t="n">
        <x:v>1</x:v>
      </x:c>
      <x:c r="L53" s="25" t="n">
        <x:v>0</x:v>
      </x:c>
      <x:c r="M53" s="25" t="n">
        <x:v>0</x:v>
      </x:c>
      <x:c r="N53" s="19" t="str">
        <x:v>https://www.instagram.com/p/DZ23ee7yUnZ/</x:v>
      </x:c>
      <x:c r="O53" s="19" t="str"/>
      <x:c r="P53" s="19" t="str">
        <x:v>Design-sale noise</x:v>
      </x:c>
      <x:c r="Q53" s="19" t="str">
        <x:v>No</x:v>
      </x:c>
      <x:c r="R53" s="19" t="str">
        <x:v>Skip</x:v>
      </x:c>
      <x:c r="S53" s="19" t="str">
        <x:v>No</x:v>
      </x:c>
      <x:c r="T53" s="22" t="str">
        <x:v>Design/mockup sale language; not consumer discussion of American Apparel.</x:v>
      </x:c>
    </x:row>
    <x:row r="54">
      <x:c r="A54" s="9" t="str">
        <x:v>Instagram</x:v>
      </x:c>
      <x:c r="B54" s="10" t="str">
        <x:v>IG hashtag</x:v>
      </x:c>
      <x:c r="C54" s="10" t="str">
        <x:v>3926580758756776527</x:v>
      </x:c>
      <x:c r="D54" s="16" t="n">
        <x:v>46197.52921296296</x:v>
      </x:c>
      <x:c r="E54" s="10" t="str">
        <x:v>andysdisaster</x:v>
      </x:c>
      <x:c r="F54" s="10" t="str">
        <x:v>Sidecar</x:v>
      </x:c>
      <x:c r="G54" s="19" t="str">
        <x:v>Graphic Design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54" s="19" t="str">
        <x:v>#americanapparel #streetwear #clothing #unitedstates #clothingbrand</x:v>
      </x:c>
      <x:c r="I54" s="19" t="str"/>
      <x:c r="J54" s="25" t="n">
        <x:v>1</x:v>
      </x:c>
      <x:c r="K54" s="25" t="n">
        <x:v>15</x:v>
      </x:c>
      <x:c r="L54" s="25" t="n">
        <x:v>0</x:v>
      </x:c>
      <x:c r="M54" s="25" t="n">
        <x:v>0</x:v>
      </x:c>
      <x:c r="N54" s="19" t="str">
        <x:v>https://www.instagram.com/p/DZ-BGVrlNpP/</x:v>
      </x:c>
      <x:c r="O54" s="19" t="str"/>
      <x:c r="P54" s="19" t="str">
        <x:v>Design-sale noise</x:v>
      </x:c>
      <x:c r="Q54" s="19" t="str">
        <x:v>No</x:v>
      </x:c>
      <x:c r="R54" s="19" t="str">
        <x:v>Skip</x:v>
      </x:c>
      <x:c r="S54" s="19" t="str">
        <x:v>No</x:v>
      </x:c>
      <x:c r="T54" s="22" t="str">
        <x:v>Design/mockup sale language; not consumer discussion of American Apparel.</x:v>
      </x:c>
    </x:row>
    <x:row r="55">
      <x:c r="A55" s="9" t="str">
        <x:v>Instagram</x:v>
      </x:c>
      <x:c r="B55" s="10" t="str">
        <x:v>IG hashtag</x:v>
      </x:c>
      <x:c r="C55" s="10" t="str">
        <x:v>3928738549034443619</x:v>
      </x:c>
      <x:c r="D55" s="16" t="n">
        <x:v>46200.50638888889</x:v>
      </x:c>
      <x:c r="E55" s="10" t="str">
        <x:v>voidworks.usa</x:v>
      </x:c>
      <x:c r="F55" s="10" t="str">
        <x:v>Sidecar</x:v>
      </x:c>
      <x:c r="G55"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V025 #americanapparel #streetwear #clothing #unitedstates #clothingbrand</x:v>
      </x:c>
      <x:c r="H55" s="19" t="str">
        <x:v>#americanapparel #streetwear #clothing #unitedstates #clothingbrand</x:v>
      </x:c>
      <x:c r="I55" s="19" t="str"/>
      <x:c r="J55" s="25" t="n">
        <x:v>1</x:v>
      </x:c>
      <x:c r="K55" s="25" t="n">
        <x:v>2</x:v>
      </x:c>
      <x:c r="L55" s="25" t="n">
        <x:v>0</x:v>
      </x:c>
      <x:c r="M55" s="25" t="n">
        <x:v>0</x:v>
      </x:c>
      <x:c r="N55" s="19" t="str">
        <x:v>https://www.instagram.com/p/DaFruUelONj/</x:v>
      </x:c>
      <x:c r="O55" s="19" t="str"/>
      <x:c r="P55" s="19" t="str">
        <x:v>Design-sale noise</x:v>
      </x:c>
      <x:c r="Q55" s="19" t="str">
        <x:v>No</x:v>
      </x:c>
      <x:c r="R55" s="19" t="str">
        <x:v>Skip</x:v>
      </x:c>
      <x:c r="S55" s="19" t="str">
        <x:v>No</x:v>
      </x:c>
      <x:c r="T55" s="22" t="str">
        <x:v>Design/mockup sale language; not consumer discussion of American Apparel.</x:v>
      </x:c>
    </x:row>
    <x:row r="56">
      <x:c r="A56" s="9" t="str">
        <x:v>Instagram</x:v>
      </x:c>
      <x:c r="B56" s="10" t="str">
        <x:v>IG hashtag</x:v>
      </x:c>
      <x:c r="C56" s="10" t="str">
        <x:v>3917989812204970042</x:v>
      </x:c>
      <x:c r="D56" s="16" t="n">
        <x:v>46185.67596064815</x:v>
      </x:c>
      <x:c r="E56" s="10" t="str">
        <x:v>sixsensestudio.id</x:v>
      </x:c>
      <x:c r="F56" s="10" t="str">
        <x:v>Sidecar</x:v>
      </x:c>
      <x:c r="G56" s="19" t="str">
        <x:v>(AVAILABLE ) BUNDLE DESIGN FOR SALE🚨 Want this vibe for your brand? Slide to see other, then hit me on DM! [CODE: 003] • Exclusive for one buyer • All text can be changed • Colors can be changed • Digital Product, PNG/PSD Files #designforsales #clothingdesigner #graphicdesigner #americanapparel #streetweardesign</x:v>
      </x:c>
      <x:c r="H56" s="19" t="str">
        <x:v>#designforsales #clothingdesigner #graphicdesigner #americanapparel #streetweardesign</x:v>
      </x:c>
      <x:c r="I56" s="19" t="str"/>
      <x:c r="J56" s="25" t="n">
        <x:v>0</x:v>
      </x:c>
      <x:c r="K56" s="25" t="n">
        <x:v>3</x:v>
      </x:c>
      <x:c r="L56" s="25" t="n">
        <x:v>0</x:v>
      </x:c>
      <x:c r="M56" s="25" t="n">
        <x:v>0</x:v>
      </x:c>
      <x:c r="N56" s="19" t="str">
        <x:v>https://www.instagram.com/p/DZffvnOE6A6/</x:v>
      </x:c>
      <x:c r="O56" s="19" t="str"/>
      <x:c r="P56" s="19" t="str">
        <x:v>Design-sale noise</x:v>
      </x:c>
      <x:c r="Q56" s="19" t="str">
        <x:v>No</x:v>
      </x:c>
      <x:c r="R56" s="19" t="str">
        <x:v>Skip</x:v>
      </x:c>
      <x:c r="S56" s="19" t="str">
        <x:v>No</x:v>
      </x:c>
      <x:c r="T56" s="22" t="str">
        <x:v>Design/mockup sale language; not consumer discussion of American Apparel.</x:v>
      </x:c>
    </x:row>
    <x:row r="57">
      <x:c r="A57" s="9" t="str">
        <x:v>Instagram</x:v>
      </x:c>
      <x:c r="B57" s="10" t="str">
        <x:v>IG hashtag</x:v>
      </x:c>
      <x:c r="C57" s="10" t="str">
        <x:v>3918578929926137464</x:v>
      </x:c>
      <x:c r="D57" s="16" t="n">
        <x:v>46186.4887962963</x:v>
      </x:c>
      <x:c r="E57" s="10" t="str">
        <x:v>sixsensestudio.id</x:v>
      </x:c>
      <x:c r="F57" s="10" t="str">
        <x:v>Sidecar</x:v>
      </x:c>
      <x:c r="G57" s="19" t="str">
        <x:v>(AVAILABLE ) DESIGN FOR SALE🚨 Want this vibe for your brand? Slide to see other, then hit me on DM! [CODE: 004] • Exclusive for one buyer • All text can be changed • Colors can be changed • Digital Product, PNG/PSD Files #designforsales #clothingdesigner #graphicdesigner #americanapparel #streetweardesign</x:v>
      </x:c>
      <x:c r="H57" s="19" t="str">
        <x:v>#designforsales #clothingdesigner #graphicdesigner #americanapparel #streetweardesign</x:v>
      </x:c>
      <x:c r="I57" s="19" t="str"/>
      <x:c r="J57" s="25" t="n">
        <x:v>0</x:v>
      </x:c>
      <x:c r="K57" s="25" t="n">
        <x:v>5</x:v>
      </x:c>
      <x:c r="L57" s="25" t="n">
        <x:v>0</x:v>
      </x:c>
      <x:c r="M57" s="25" t="n">
        <x:v>0</x:v>
      </x:c>
      <x:c r="N57" s="19" t="str">
        <x:v>https://www.instagram.com/p/DZhlsZ2k-Z4/</x:v>
      </x:c>
      <x:c r="O57" s="19" t="str"/>
      <x:c r="P57" s="19" t="str">
        <x:v>Design-sale noise</x:v>
      </x:c>
      <x:c r="Q57" s="19" t="str">
        <x:v>No</x:v>
      </x:c>
      <x:c r="R57" s="19" t="str">
        <x:v>Skip</x:v>
      </x:c>
      <x:c r="S57" s="19" t="str">
        <x:v>No</x:v>
      </x:c>
      <x:c r="T57" s="22" t="str">
        <x:v>Design/mockup sale language; not consumer discussion of American Apparel.</x:v>
      </x:c>
    </x:row>
    <x:row r="58">
      <x:c r="A58" s="9" t="str">
        <x:v>Instagram</x:v>
      </x:c>
      <x:c r="B58" s="10" t="str">
        <x:v>IG hashtag</x:v>
      </x:c>
      <x:c r="C58" s="10" t="str">
        <x:v>3918653259938757694</x:v>
      </x:c>
      <x:c r="D58" s="16" t="n">
        <x:v>46186.59134259259</x:v>
      </x:c>
      <x:c r="E58" s="10" t="str">
        <x:v>sixsensestudio.id</x:v>
      </x:c>
      <x:c r="F58" s="10" t="str">
        <x:v>Sidecar</x:v>
      </x:c>
      <x:c r="G58" s="19" t="str">
        <x:v>(AVAILABLE ) DESIGN FOR SALE🚨 Want this vibe for your brand? Slide to see other, then hit me on DM! [CODE: 005] • Exclusive for one buyer • All text can be changed • Colors can be changed • Digital Product, PNG/PSD Files #designforsales #clothingdesigner #graphicdesigner #americanapparel #streetweardesign</x:v>
      </x:c>
      <x:c r="H58" s="19" t="str">
        <x:v>#designforsales #clothingdesigner #graphicdesigner #americanapparel #streetweardesign</x:v>
      </x:c>
      <x:c r="I58" s="19" t="str"/>
      <x:c r="J58" s="25" t="n">
        <x:v>0</x:v>
      </x:c>
      <x:c r="K58" s="25" t="n">
        <x:v>3</x:v>
      </x:c>
      <x:c r="L58" s="25" t="n">
        <x:v>0</x:v>
      </x:c>
      <x:c r="M58" s="25" t="n">
        <x:v>0</x:v>
      </x:c>
      <x:c r="N58" s="19" t="str">
        <x:v>https://www.instagram.com/p/DZh2mDEk3w-/</x:v>
      </x:c>
      <x:c r="O58" s="19" t="str"/>
      <x:c r="P58" s="19" t="str">
        <x:v>Design-sale noise</x:v>
      </x:c>
      <x:c r="Q58" s="19" t="str">
        <x:v>No</x:v>
      </x:c>
      <x:c r="R58" s="19" t="str">
        <x:v>Skip</x:v>
      </x:c>
      <x:c r="S58" s="19" t="str">
        <x:v>No</x:v>
      </x:c>
      <x:c r="T58" s="22" t="str">
        <x:v>Design/mockup sale language; not consumer discussion of American Apparel.</x:v>
      </x:c>
    </x:row>
    <x:row r="59">
      <x:c r="A59" s="9" t="str">
        <x:v>Instagram</x:v>
      </x:c>
      <x:c r="B59" s="10" t="str">
        <x:v>IG hashtag</x:v>
      </x:c>
      <x:c r="C59" s="10" t="str">
        <x:v>3919230223615551909</x:v>
      </x:c>
      <x:c r="D59" s="16" t="n">
        <x:v>46187.387407407405</x:v>
      </x:c>
      <x:c r="E59" s="10" t="str">
        <x:v>voidworks.usa</x:v>
      </x:c>
      <x:c r="F59" s="10" t="str">
        <x:v>Sidecar</x:v>
      </x:c>
      <x:c r="G59" s="19" t="str">
        <x:v>sold, thank you!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V011 #americanapparel #streetwear #clothing #unitedstates #clothingbrand</x:v>
      </x:c>
      <x:c r="H59" s="19" t="str">
        <x:v>#americanapparel #streetwear #clothing #unitedstates #clothingbrand</x:v>
      </x:c>
      <x:c r="I59" s="19" t="str"/>
      <x:c r="J59" s="25" t="n">
        <x:v>0</x:v>
      </x:c>
      <x:c r="K59" s="25" t="n">
        <x:v>1</x:v>
      </x:c>
      <x:c r="L59" s="25" t="n">
        <x:v>0</x:v>
      </x:c>
      <x:c r="M59" s="25" t="n">
        <x:v>0</x:v>
      </x:c>
      <x:c r="N59" s="19" t="str">
        <x:v>https://www.instagram.com/p/DZj5x-XlGml/</x:v>
      </x:c>
      <x:c r="O59" s="19" t="str"/>
      <x:c r="P59" s="19" t="str">
        <x:v>Design-sale noise</x:v>
      </x:c>
      <x:c r="Q59" s="19" t="str">
        <x:v>No</x:v>
      </x:c>
      <x:c r="R59" s="19" t="str">
        <x:v>Skip</x:v>
      </x:c>
      <x:c r="S59" s="19" t="str">
        <x:v>No</x:v>
      </x:c>
      <x:c r="T59" s="22" t="str">
        <x:v>Design/mockup sale language; not consumer discussion of American Apparel.</x:v>
      </x:c>
    </x:row>
    <x:row r="60">
      <x:c r="A60" s="9" t="str">
        <x:v>Instagram</x:v>
      </x:c>
      <x:c r="B60" s="10" t="str">
        <x:v>IG hashtag</x:v>
      </x:c>
      <x:c r="C60" s="10" t="str">
        <x:v>3919290721425932932</x:v>
      </x:c>
      <x:c r="D60" s="16" t="n">
        <x:v>46187.47087962963</x:v>
      </x:c>
      <x:c r="E60" s="10" t="str">
        <x:v>sixsensestudio.id</x:v>
      </x:c>
      <x:c r="F60" s="10" t="str">
        <x:v>Sidecar</x:v>
      </x:c>
      <x:c r="G60" s="19" t="str">
        <x:v>(AVAILABLE ) DESIGN FOR SALE🚨 Want this vibe for your brand? Slide to see other, then hit me on DM! [CODE: 006] • Exclusive for one buyer • All text can be changed • Colors can be changed • Digital Product, PNG/PSD Files #designforsales #clothingdesigner #graphicdesigner #americanapparel #streetweardesign</x:v>
      </x:c>
      <x:c r="H60" s="19" t="str">
        <x:v>#designforsales #clothingdesigner #graphicdesigner #americanapparel #streetweardesign</x:v>
      </x:c>
      <x:c r="I60" s="19" t="str"/>
      <x:c r="J60" s="25" t="n">
        <x:v>0</x:v>
      </x:c>
      <x:c r="K60" s="25" t="n">
        <x:v>8</x:v>
      </x:c>
      <x:c r="L60" s="25" t="n">
        <x:v>0</x:v>
      </x:c>
      <x:c r="M60" s="25" t="n">
        <x:v>0</x:v>
      </x:c>
      <x:c r="N60" s="19" t="str">
        <x:v>https://www.instagram.com/p/DZkHiVWE8KE/</x:v>
      </x:c>
      <x:c r="O60" s="19" t="str"/>
      <x:c r="P60" s="19" t="str">
        <x:v>Design-sale noise</x:v>
      </x:c>
      <x:c r="Q60" s="19" t="str">
        <x:v>No</x:v>
      </x:c>
      <x:c r="R60" s="19" t="str">
        <x:v>Skip</x:v>
      </x:c>
      <x:c r="S60" s="19" t="str">
        <x:v>No</x:v>
      </x:c>
      <x:c r="T60" s="22" t="str">
        <x:v>Design/mockup sale language; not consumer discussion of American Apparel.</x:v>
      </x:c>
    </x:row>
    <x:row r="61">
      <x:c r="A61" s="9" t="str">
        <x:v>Instagram</x:v>
      </x:c>
      <x:c r="B61" s="10" t="str">
        <x:v>IG hashtag</x:v>
      </x:c>
      <x:c r="C61" s="10" t="str">
        <x:v>3920044398705120064</x:v>
      </x:c>
      <x:c r="D61" s="16" t="n">
        <x:v>46188.51075231482</x:v>
      </x:c>
      <x:c r="E61" s="10" t="str">
        <x:v>voidworks.usa</x:v>
      </x:c>
      <x:c r="F61" s="10" t="str">
        <x:v>Sidecar</x:v>
      </x:c>
      <x:c r="G61"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V012 #americanapparel #streetwear #clothing #unitedstates #clothingbrand</x:v>
      </x:c>
      <x:c r="H61" s="19" t="str">
        <x:v>#americanapparel #streetwear #clothing #unitedstates #clothingbrand</x:v>
      </x:c>
      <x:c r="I61" s="19" t="str"/>
      <x:c r="J61" s="25" t="n">
        <x:v>0</x:v>
      </x:c>
      <x:c r="K61" s="25" t="n">
        <x:v>1</x:v>
      </x:c>
      <x:c r="L61" s="25" t="n">
        <x:v>0</x:v>
      </x:c>
      <x:c r="M61" s="25" t="n">
        <x:v>0</x:v>
      </x:c>
      <x:c r="N61" s="19" t="str">
        <x:v>https://www.instagram.com/p/DZmy5yAlBNA/</x:v>
      </x:c>
      <x:c r="O61" s="19" t="str"/>
      <x:c r="P61" s="19" t="str">
        <x:v>Design-sale noise</x:v>
      </x:c>
      <x:c r="Q61" s="19" t="str">
        <x:v>No</x:v>
      </x:c>
      <x:c r="R61" s="19" t="str">
        <x:v>Skip</x:v>
      </x:c>
      <x:c r="S61" s="19" t="str">
        <x:v>No</x:v>
      </x:c>
      <x:c r="T61" s="22" t="str">
        <x:v>Design/mockup sale language; not consumer discussion of American Apparel.</x:v>
      </x:c>
    </x:row>
    <x:row r="62">
      <x:c r="A62" s="9" t="str">
        <x:v>Instagram</x:v>
      </x:c>
      <x:c r="B62" s="10" t="str">
        <x:v>IG hashtag</x:v>
      </x:c>
      <x:c r="C62" s="10" t="str">
        <x:v>3920046584256202888</x:v>
      </x:c>
      <x:c r="D62" s="16" t="n">
        <x:v>46188.513773148145</x:v>
      </x:c>
      <x:c r="E62" s="10" t="str">
        <x:v>sixsensestudio.id</x:v>
      </x:c>
      <x:c r="F62" s="10" t="str">
        <x:v>Sidecar</x:v>
      </x:c>
      <x:c r="G62" s="19" t="str">
        <x:v>(AVAILABLE ) DESIGN FOR SALE🚨 Want this vibe for your brand? Slide to see other, then hit me on DM! [CODE: 007] • Exclusive for one buyer • All text can be changed • Colors can be changed • Digital Product, PNG/PSD Files #designforsales #clothingdesigner #graphicdesigner #americanapparel #streetweardesign</x:v>
      </x:c>
      <x:c r="H62" s="19" t="str">
        <x:v>#designforsales #clothingdesigner #graphicdesigner #americanapparel #streetweardesign</x:v>
      </x:c>
      <x:c r="I62" s="19" t="str"/>
      <x:c r="J62" s="25" t="n">
        <x:v>0</x:v>
      </x:c>
      <x:c r="K62" s="25" t="n">
        <x:v>5</x:v>
      </x:c>
      <x:c r="L62" s="25" t="n">
        <x:v>0</x:v>
      </x:c>
      <x:c r="M62" s="25" t="n">
        <x:v>0</x:v>
      </x:c>
      <x:c r="N62" s="19" t="str">
        <x:v>https://www.instagram.com/p/DZmzZldkwiI/</x:v>
      </x:c>
      <x:c r="O62" s="19" t="str"/>
      <x:c r="P62" s="19" t="str">
        <x:v>Design-sale noise</x:v>
      </x:c>
      <x:c r="Q62" s="19" t="str">
        <x:v>No</x:v>
      </x:c>
      <x:c r="R62" s="19" t="str">
        <x:v>Skip</x:v>
      </x:c>
      <x:c r="S62" s="19" t="str">
        <x:v>No</x:v>
      </x:c>
      <x:c r="T62" s="22" t="str">
        <x:v>Design/mockup sale language; not consumer discussion of American Apparel.</x:v>
      </x:c>
    </x:row>
    <x:row r="63">
      <x:c r="A63" s="9" t="str">
        <x:v>Instagram</x:v>
      </x:c>
      <x:c r="B63" s="10" t="str">
        <x:v>IG hashtag</x:v>
      </x:c>
      <x:c r="C63" s="10" t="str">
        <x:v>3921532280295612205</x:v>
      </x:c>
      <x:c r="D63" s="16" t="n">
        <x:v>46190.56371527778</x:v>
      </x:c>
      <x:c r="E63" s="10" t="str">
        <x:v>bezirlane.std</x:v>
      </x:c>
      <x:c r="F63" s="10" t="str">
        <x:v>Image</x:v>
      </x:c>
      <x:c r="G63" s="19" t="str">
        <x:v>DESIGN AVAILABLE FOR SALE Tap in via DM to secure yours 🛒 • Fully customizable text &amp; color options • Premium graphic design ready for any garment • Delivered in high-resolution PNG &amp; PSD files • Trusted by multiple brands &amp; international clients • Open for custom logo, merch &amp; full branding requests Every design is made with quality and originality in mind. Displayed brand is only a sample — your own branding will be added after purchase. Appreciate everyone who continues to support and trust our work. 🖤 #streetwear #clothingbrand #graphicdesign #fashion #americanapparel</x:v>
      </x:c>
      <x:c r="H63" s="19" t="str">
        <x:v>#streetwear #clothingbrand #graphicdesign #fashion #americanapparel</x:v>
      </x:c>
      <x:c r="I63" s="19" t="str"/>
      <x:c r="J63" s="25" t="n">
        <x:v>0</x:v>
      </x:c>
      <x:c r="K63" s="25" t="n">
        <x:v>5</x:v>
      </x:c>
      <x:c r="L63" s="25" t="n">
        <x:v>0</x:v>
      </x:c>
      <x:c r="M63" s="25" t="n">
        <x:v>0</x:v>
      </x:c>
      <x:c r="N63" s="19" t="str">
        <x:v>https://www.instagram.com/p/DZsFNTuP18t/</x:v>
      </x:c>
      <x:c r="O63" s="19" t="str"/>
      <x:c r="P63" s="19" t="str">
        <x:v>Design-sale noise</x:v>
      </x:c>
      <x:c r="Q63" s="19" t="str">
        <x:v>No</x:v>
      </x:c>
      <x:c r="R63" s="19" t="str">
        <x:v>Skip</x:v>
      </x:c>
      <x:c r="S63" s="19" t="str">
        <x:v>No</x:v>
      </x:c>
      <x:c r="T63" s="22" t="str">
        <x:v>Design/mockup sale language; not consumer discussion of American Apparel.</x:v>
      </x:c>
    </x:row>
    <x:row r="64">
      <x:c r="A64" s="9" t="str">
        <x:v>Instagram</x:v>
      </x:c>
      <x:c r="B64" s="10" t="str">
        <x:v>IG hashtag</x:v>
      </x:c>
      <x:c r="C64" s="10" t="str">
        <x:v>3921628992915057366</x:v>
      </x:c>
      <x:c r="D64" s="16" t="n">
        <x:v>46190.697071759256</x:v>
      </x:c>
      <x:c r="E64" s="10" t="str">
        <x:v>sixsensestudio.id</x:v>
      </x:c>
      <x:c r="F64" s="10" t="str">
        <x:v>Sidecar</x:v>
      </x:c>
      <x:c r="G64" s="19" t="str">
        <x:v>(AVAILABLE ) DESIGN FOR SALE🚨 Want this vibe for your brand? Slide to see other, then hit me on DM! [CODE: 009] • Exclusive for one buyer • All text can be changed • Colors can be changed • Digital Product, PNG/PSD Files #designforsales #clothingdesigner #graphicdesigner #americanapparel #streetweardesign</x:v>
      </x:c>
      <x:c r="H64" s="19" t="str">
        <x:v>#designforsales #clothingdesigner #graphicdesigner #americanapparel #streetweardesign</x:v>
      </x:c>
      <x:c r="I64" s="19" t="str"/>
      <x:c r="J64" s="25" t="n">
        <x:v>0</x:v>
      </x:c>
      <x:c r="K64" s="25" t="n">
        <x:v>5</x:v>
      </x:c>
      <x:c r="L64" s="25" t="n">
        <x:v>0</x:v>
      </x:c>
      <x:c r="M64" s="25" t="n">
        <x:v>0</x:v>
      </x:c>
      <x:c r="N64" s="19" t="str">
        <x:v>https://www.instagram.com/p/DZsbMqXkyrW/</x:v>
      </x:c>
      <x:c r="O64" s="19" t="str"/>
      <x:c r="P64" s="19" t="str">
        <x:v>Design-sale noise</x:v>
      </x:c>
      <x:c r="Q64" s="19" t="str">
        <x:v>No</x:v>
      </x:c>
      <x:c r="R64" s="19" t="str">
        <x:v>Skip</x:v>
      </x:c>
      <x:c r="S64" s="19" t="str">
        <x:v>No</x:v>
      </x:c>
      <x:c r="T64" s="22" t="str">
        <x:v>Design/mockup sale language; not consumer discussion of American Apparel.</x:v>
      </x:c>
    </x:row>
    <x:row r="65">
      <x:c r="A65" s="9" t="str">
        <x:v>Instagram</x:v>
      </x:c>
      <x:c r="B65" s="10" t="str">
        <x:v>IG hashtag</x:v>
      </x:c>
      <x:c r="C65" s="10" t="str">
        <x:v>3922322999047664151</x:v>
      </x:c>
      <x:c r="D65" s="16" t="n">
        <x:v>46191.65461805555</x:v>
      </x:c>
      <x:c r="E65" s="10" t="str">
        <x:v>godin.jpg</x:v>
      </x:c>
      <x:c r="F65" s="10" t="str">
        <x:v>Sidecar</x:v>
      </x:c>
      <x:c r="G65"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65" s="19" t="str">
        <x:v>#designforsale #clothingbrand #designs #streetwearbrand #streetwear #streetweardesigner #usastreetwear #americanapparel #urbanfashion #fashiondesigners</x:v>
      </x:c>
      <x:c r="I65" s="19" t="str"/>
      <x:c r="J65" s="25" t="n">
        <x:v>0</x:v>
      </x:c>
      <x:c r="K65" s="25" t="n">
        <x:v>2</x:v>
      </x:c>
      <x:c r="L65" s="25" t="n">
        <x:v>0</x:v>
      </x:c>
      <x:c r="M65" s="25" t="n">
        <x:v>0</x:v>
      </x:c>
      <x:c r="N65" s="19" t="str">
        <x:v>https://www.instagram.com/p/DZu4_x8lLIX/</x:v>
      </x:c>
      <x:c r="O65" s="19" t="str"/>
      <x:c r="P65" s="19" t="str">
        <x:v>Design-sale noise</x:v>
      </x:c>
      <x:c r="Q65" s="19" t="str">
        <x:v>No</x:v>
      </x:c>
      <x:c r="R65" s="19" t="str">
        <x:v>Skip</x:v>
      </x:c>
      <x:c r="S65" s="19" t="str">
        <x:v>No</x:v>
      </x:c>
      <x:c r="T65" s="22" t="str">
        <x:v>Design/mockup sale language; not consumer discussion of American Apparel.</x:v>
      </x:c>
    </x:row>
    <x:row r="66">
      <x:c r="A66" s="9" t="str">
        <x:v>Instagram</x:v>
      </x:c>
      <x:c r="B66" s="10" t="str">
        <x:v>IG hashtag</x:v>
      </x:c>
      <x:c r="C66" s="10" t="str">
        <x:v>3922347078697791736</x:v>
      </x:c>
      <x:c r="D66" s="16" t="n">
        <x:v>46191.68784722222</x:v>
      </x:c>
      <x:c r="E66" s="10" t="str">
        <x:v>stacklaren</x:v>
      </x:c>
      <x:c r="F66" s="10" t="str">
        <x:v>Sidecar</x:v>
      </x:c>
      <x:c r="G66" s="19" t="str">
        <x:v>Sold, thank you. Custom/commission open (limited). #usstreetwear #ukstreetwear #clothingbrand #americanapparel #designforsale (10)</x:v>
      </x:c>
      <x:c r="H66" s="19" t="str">
        <x:v>#usstreetwear #ukstreetwear #clothingbrand #americanapparel #designforsale</x:v>
      </x:c>
      <x:c r="I66" s="19" t="str"/>
      <x:c r="J66" s="25" t="n">
        <x:v>0</x:v>
      </x:c>
      <x:c r="K66" s="25" t="n">
        <x:v>-1</x:v>
      </x:c>
      <x:c r="L66" s="25" t="n">
        <x:v>0</x:v>
      </x:c>
      <x:c r="M66" s="25" t="n">
        <x:v>0</x:v>
      </x:c>
      <x:c r="N66" s="19" t="str">
        <x:v>https://www.instagram.com/p/DZu-eL3krD4/</x:v>
      </x:c>
      <x:c r="O66" s="19" t="str"/>
      <x:c r="P66" s="19" t="str">
        <x:v>Design-sale noise</x:v>
      </x:c>
      <x:c r="Q66" s="19" t="str">
        <x:v>No</x:v>
      </x:c>
      <x:c r="R66" s="19" t="str">
        <x:v>Skip</x:v>
      </x:c>
      <x:c r="S66" s="19" t="str">
        <x:v>No</x:v>
      </x:c>
      <x:c r="T66" s="22" t="str">
        <x:v>Design/mockup sale language; not consumer discussion of American Apparel.</x:v>
      </x:c>
    </x:row>
    <x:row r="67">
      <x:c r="A67" s="9" t="str">
        <x:v>Instagram</x:v>
      </x:c>
      <x:c r="B67" s="10" t="str">
        <x:v>IG hashtag</x:v>
      </x:c>
      <x:c r="C67" s="10" t="str">
        <x:v>3922931596601236617</x:v>
      </x:c>
      <x:c r="D67" s="16" t="n">
        <x:v>46192.4943287037</x:v>
      </x:c>
      <x:c r="E67" s="10" t="str">
        <x:v>stacklaren</x:v>
      </x:c>
      <x:c r="F67" s="10" t="str">
        <x:v>Sidecar</x:v>
      </x:c>
      <x:c r="G67" s="19" t="str">
        <x:v>Design available for sale. DM for inquiries and orders. - Text and colors can be customized. - Can be presented with a different mockup. - Delivered as high-res PSD and PNG files. - Open for custom work. Payments are processed via PayPal invoice. Available payment methods may vary depending on your region. #usstreetwear #ukstreetwear #clothingbrand #americanapparel #designforsale (11)</x:v>
      </x:c>
      <x:c r="H67" s="19" t="str">
        <x:v>#usstreetwear #ukstreetwear #clothingbrand #americanapparel #designforsale</x:v>
      </x:c>
      <x:c r="I67" s="19" t="str"/>
      <x:c r="J67" s="25" t="n">
        <x:v>0</x:v>
      </x:c>
      <x:c r="K67" s="25" t="n">
        <x:v>-1</x:v>
      </x:c>
      <x:c r="L67" s="25" t="n">
        <x:v>0</x:v>
      </x:c>
      <x:c r="M67" s="25" t="n">
        <x:v>0</x:v>
      </x:c>
      <x:c r="N67" s="19" t="str">
        <x:v>https://www.instagram.com/p/DZxDYClkpyJ/</x:v>
      </x:c>
      <x:c r="O67" s="19" t="str"/>
      <x:c r="P67" s="19" t="str">
        <x:v>Design-sale noise</x:v>
      </x:c>
      <x:c r="Q67" s="19" t="str">
        <x:v>No</x:v>
      </x:c>
      <x:c r="R67" s="19" t="str">
        <x:v>Skip</x:v>
      </x:c>
      <x:c r="S67" s="19" t="str">
        <x:v>No</x:v>
      </x:c>
      <x:c r="T67" s="22" t="str">
        <x:v>Design/mockup sale language; not consumer discussion of American Apparel.</x:v>
      </x:c>
    </x:row>
    <x:row r="68">
      <x:c r="A68" s="9" t="str">
        <x:v>Instagram</x:v>
      </x:c>
      <x:c r="B68" s="10" t="str">
        <x:v>IG hashtag</x:v>
      </x:c>
      <x:c r="C68" s="10" t="str">
        <x:v>3922987739012986907</x:v>
      </x:c>
      <x:c r="D68" s="16" t="n">
        <x:v>46192.57179398148</x:v>
      </x:c>
      <x:c r="E68" s="10" t="str">
        <x:v>andysdisaster</x:v>
      </x:c>
      <x:c r="F68" s="10" t="str">
        <x:v>Sidecar</x:v>
      </x:c>
      <x:c r="G68" s="19" t="str">
        <x:v>Premade Graphic Design Available Hit me up via DM to cop yours 🛒 • Text &amp; color can be customized • The Graphic / Available Design fits all kinds of garments • Delivered in high-res PNG &amp; PSD digital files • Open for custom logo &amp; full-set requests Want the deets? Slide that feed 👉 Displayed brand is a sample, Yours gets added after purchase. #americanapparel #streetwear #clothing #unitedstates #clothingbrand</x:v>
      </x:c>
      <x:c r="H68" s="19" t="str">
        <x:v>#americanapparel #streetwear #clothing #unitedstates #clothingbrand</x:v>
      </x:c>
      <x:c r="I68" s="19" t="str"/>
      <x:c r="J68" s="25" t="n">
        <x:v>0</x:v>
      </x:c>
      <x:c r="K68" s="25" t="n">
        <x:v>35</x:v>
      </x:c>
      <x:c r="L68" s="25" t="n">
        <x:v>0</x:v>
      </x:c>
      <x:c r="M68" s="25" t="n">
        <x:v>0</x:v>
      </x:c>
      <x:c r="N68" s="19" t="str">
        <x:v>https://www.instagram.com/p/DZxQJBSFPgb/</x:v>
      </x:c>
      <x:c r="O68" s="19" t="str"/>
      <x:c r="P68" s="19" t="str">
        <x:v>Design-sale noise</x:v>
      </x:c>
      <x:c r="Q68" s="19" t="str">
        <x:v>No</x:v>
      </x:c>
      <x:c r="R68" s="19" t="str">
        <x:v>Skip</x:v>
      </x:c>
      <x:c r="S68" s="19" t="str">
        <x:v>No</x:v>
      </x:c>
      <x:c r="T68" s="22" t="str">
        <x:v>Design/mockup sale language; not consumer discussion of American Apparel.</x:v>
      </x:c>
    </x:row>
    <x:row r="69">
      <x:c r="A69" s="9" t="str">
        <x:v>Instagram</x:v>
      </x:c>
      <x:c r="B69" s="10" t="str">
        <x:v>IG hashtag</x:v>
      </x:c>
      <x:c r="C69" s="10" t="str">
        <x:v>3923081232985017026</x:v>
      </x:c>
      <x:c r="D69" s="16" t="n">
        <x:v>46192.700787037036</x:v>
      </x:c>
      <x:c r="E69" s="10" t="str">
        <x:v>voidworks.usa</x:v>
      </x:c>
      <x:c r="F69" s="10" t="str">
        <x:v>Sidecar</x:v>
      </x:c>
      <x:c r="G69" s="19" t="str">
        <x:v>sold, thank you!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V015 #americanapparel #streetwear #clothing #unitedstates #clothingbrand</x:v>
      </x:c>
      <x:c r="H69" s="19" t="str">
        <x:v>#americanapparel #streetwear #clothing #unitedstates #clothingbrand</x:v>
      </x:c>
      <x:c r="I69" s="19" t="str"/>
      <x:c r="J69" s="25" t="n">
        <x:v>0</x:v>
      </x:c>
      <x:c r="K69" s="25" t="n">
        <x:v>1</x:v>
      </x:c>
      <x:c r="L69" s="25" t="n">
        <x:v>0</x:v>
      </x:c>
      <x:c r="M69" s="25" t="n">
        <x:v>0</x:v>
      </x:c>
      <x:c r="N69" s="19" t="str">
        <x:v>https://www.instagram.com/p/DZxlZiVEsrC/</x:v>
      </x:c>
      <x:c r="O69" s="19" t="str"/>
      <x:c r="P69" s="19" t="str">
        <x:v>Design-sale noise</x:v>
      </x:c>
      <x:c r="Q69" s="19" t="str">
        <x:v>No</x:v>
      </x:c>
      <x:c r="R69" s="19" t="str">
        <x:v>Skip</x:v>
      </x:c>
      <x:c r="S69" s="19" t="str">
        <x:v>No</x:v>
      </x:c>
      <x:c r="T69" s="22" t="str">
        <x:v>Design/mockup sale language; not consumer discussion of American Apparel.</x:v>
      </x:c>
    </x:row>
    <x:row r="70">
      <x:c r="A70" s="9" t="str">
        <x:v>Instagram</x:v>
      </x:c>
      <x:c r="B70" s="10" t="str">
        <x:v>IG hashtag</x:v>
      </x:c>
      <x:c r="C70" s="10" t="str">
        <x:v>3923663317311436773</x:v>
      </x:c>
      <x:c r="D70" s="16" t="n">
        <x:v>46193.503912037035</x:v>
      </x:c>
      <x:c r="E70" s="10" t="str">
        <x:v>voidworks.usa</x:v>
      </x:c>
      <x:c r="F70" s="10" t="str">
        <x:v>Sidecar</x:v>
      </x:c>
      <x:c r="G70"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V016 #americanapparel #streetwear #clothing #unitedstates #clothingbrand</x:v>
      </x:c>
      <x:c r="H70" s="19" t="str">
        <x:v>#americanapparel #streetwear #clothing #unitedstates #clothingbrand</x:v>
      </x:c>
      <x:c r="I70" s="19" t="str"/>
      <x:c r="J70" s="25" t="n">
        <x:v>0</x:v>
      </x:c>
      <x:c r="K70" s="25" t="n">
        <x:v>1</x:v>
      </x:c>
      <x:c r="L70" s="25" t="n">
        <x:v>0</x:v>
      </x:c>
      <x:c r="M70" s="25" t="n">
        <x:v>0</x:v>
      </x:c>
      <x:c r="N70" s="19" t="str">
        <x:v>https://www.instagram.com/p/DZzpv-mlDfl/</x:v>
      </x:c>
      <x:c r="O70" s="19" t="str"/>
      <x:c r="P70" s="19" t="str">
        <x:v>Design-sale noise</x:v>
      </x:c>
      <x:c r="Q70" s="19" t="str">
        <x:v>No</x:v>
      </x:c>
      <x:c r="R70" s="19" t="str">
        <x:v>Skip</x:v>
      </x:c>
      <x:c r="S70" s="19" t="str">
        <x:v>No</x:v>
      </x:c>
      <x:c r="T70" s="22" t="str">
        <x:v>Design/mockup sale language; not consumer discussion of American Apparel.</x:v>
      </x:c>
    </x:row>
    <x:row r="71">
      <x:c r="A71" s="9" t="str">
        <x:v>Instagram</x:v>
      </x:c>
      <x:c r="B71" s="10" t="str">
        <x:v>IG hashtag</x:v>
      </x:c>
      <x:c r="C71" s="10" t="str">
        <x:v>3923753343181340656</x:v>
      </x:c>
      <x:c r="D71" s="16" t="n">
        <x:v>46193.628125</x:v>
      </x:c>
      <x:c r="E71" s="10" t="str">
        <x:v>sixsensestudio.id</x:v>
      </x:c>
      <x:c r="F71" s="10" t="str">
        <x:v>Sidecar</x:v>
      </x:c>
      <x:c r="G71" s="19" t="str">
        <x:v>(AVAILABLE ) DESIGN FOR SALE🚨 Want this vibe for your brand? Slide to see other, then hit me on DM! [CODE: 010] • Exclusive for one buyer • All text can be changed • Colors can be changed • Digital Product, PNG/PSD Files #designforsales #clothingdesigner #graphicdesigner #americanapparel #streetweardesign</x:v>
      </x:c>
      <x:c r="H71" s="19" t="str">
        <x:v>#designforsales #clothingdesigner #graphicdesigner #americanapparel #streetweardesign</x:v>
      </x:c>
      <x:c r="I71" s="19" t="str"/>
      <x:c r="J71" s="25" t="n">
        <x:v>0</x:v>
      </x:c>
      <x:c r="K71" s="25" t="n">
        <x:v>5</x:v>
      </x:c>
      <x:c r="L71" s="25" t="n">
        <x:v>0</x:v>
      </x:c>
      <x:c r="M71" s="25" t="n">
        <x:v>0</x:v>
      </x:c>
      <x:c r="N71" s="19" t="str">
        <x:v>https://www.instagram.com/p/DZz-OBukz_w/</x:v>
      </x:c>
      <x:c r="O71" s="19" t="str"/>
      <x:c r="P71" s="19" t="str">
        <x:v>Design-sale noise</x:v>
      </x:c>
      <x:c r="Q71" s="19" t="str">
        <x:v>No</x:v>
      </x:c>
      <x:c r="R71" s="19" t="str">
        <x:v>Skip</x:v>
      </x:c>
      <x:c r="S71" s="19" t="str">
        <x:v>No</x:v>
      </x:c>
      <x:c r="T71" s="22" t="str">
        <x:v>Design/mockup sale language; not consumer discussion of American Apparel.</x:v>
      </x:c>
    </x:row>
    <x:row r="72">
      <x:c r="A72" s="9" t="str">
        <x:v>Instagram</x:v>
      </x:c>
      <x:c r="B72" s="10" t="str">
        <x:v>IG hashtag</x:v>
      </x:c>
      <x:c r="C72" s="10" t="str">
        <x:v>3923759494807674878</x:v>
      </x:c>
      <x:c r="D72" s="16" t="n">
        <x:v>46193.636608796296</x:v>
      </x:c>
      <x:c r="E72" s="10" t="str">
        <x:v>sixsensestudio.id</x:v>
      </x:c>
      <x:c r="F72" s="10" t="str">
        <x:v>Sidecar</x:v>
      </x:c>
      <x:c r="G72" s="19" t="str">
        <x:v>(AVAILABLE ) DESIGN FOR SALE🚨 Want this vibe for your brand? Slide to see other, then hit me on DM! [CODE: 011] • Exclusive for one buyer • All text can be changed • Colors can be changed • Digital Product, PNG/PSD Files #designforsales #clothingdesigner #graphicdesigner #americanapparel #streetweardesign</x:v>
      </x:c>
      <x:c r="H72" s="19" t="str">
        <x:v>#designforsales #clothingdesigner #graphicdesigner #americanapparel #streetweardesign</x:v>
      </x:c>
      <x:c r="I72" s="19" t="str"/>
      <x:c r="J72" s="25" t="n">
        <x:v>0</x:v>
      </x:c>
      <x:c r="K72" s="25" t="n">
        <x:v>3</x:v>
      </x:c>
      <x:c r="L72" s="25" t="n">
        <x:v>0</x:v>
      </x:c>
      <x:c r="M72" s="25" t="n">
        <x:v>0</x:v>
      </x:c>
      <x:c r="N72" s="19" t="str">
        <x:v>https://www.instagram.com/p/DZz_ni4E9_-/</x:v>
      </x:c>
      <x:c r="O72" s="19" t="str"/>
      <x:c r="P72" s="19" t="str">
        <x:v>Design-sale noise</x:v>
      </x:c>
      <x:c r="Q72" s="19" t="str">
        <x:v>No</x:v>
      </x:c>
      <x:c r="R72" s="19" t="str">
        <x:v>Skip</x:v>
      </x:c>
      <x:c r="S72" s="19" t="str">
        <x:v>No</x:v>
      </x:c>
      <x:c r="T72" s="22" t="str">
        <x:v>Design/mockup sale language; not consumer discussion of American Apparel.</x:v>
      </x:c>
    </x:row>
    <x:row r="73">
      <x:c r="A73" s="9" t="str">
        <x:v>Instagram</x:v>
      </x:c>
      <x:c r="B73" s="10" t="str">
        <x:v>IG hashtag</x:v>
      </x:c>
      <x:c r="C73" s="10" t="str">
        <x:v>3923760716348339006</x:v>
      </x:c>
      <x:c r="D73" s="16" t="n">
        <x:v>46193.63829861111</x:v>
      </x:c>
      <x:c r="E73" s="10" t="str">
        <x:v>sixsensestudio.id</x:v>
      </x:c>
      <x:c r="F73" s="10" t="str">
        <x:v>Sidecar</x:v>
      </x:c>
      <x:c r="G73" s="19" t="str">
        <x:v>(AVAILABLE ) DESIGN FOR SALE🚨 Want this vibe for your brand? Slide to see other, then hit me on DM! [CODE: 012] • Exclusive for one buyer • All text can be changed • Colors can be changed • Digital Product, PNG/PSD Files #designforsales #clothingdesigner #graphicdesigner #americanapparel #streetweardesign</x:v>
      </x:c>
      <x:c r="H73" s="19" t="str">
        <x:v>#designforsales #clothingdesigner #graphicdesigner #americanapparel #streetweardesign</x:v>
      </x:c>
      <x:c r="I73" s="19" t="str"/>
      <x:c r="J73" s="25" t="n">
        <x:v>0</x:v>
      </x:c>
      <x:c r="K73" s="25" t="n">
        <x:v>3</x:v>
      </x:c>
      <x:c r="L73" s="25" t="n">
        <x:v>0</x:v>
      </x:c>
      <x:c r="M73" s="25" t="n">
        <x:v>0</x:v>
      </x:c>
      <x:c r="N73" s="19" t="str">
        <x:v>https://www.instagram.com/p/DZz_5UhkzM-/</x:v>
      </x:c>
      <x:c r="O73" s="19" t="str"/>
      <x:c r="P73" s="19" t="str">
        <x:v>Design-sale noise</x:v>
      </x:c>
      <x:c r="Q73" s="19" t="str">
        <x:v>No</x:v>
      </x:c>
      <x:c r="R73" s="19" t="str">
        <x:v>Skip</x:v>
      </x:c>
      <x:c r="S73" s="19" t="str">
        <x:v>No</x:v>
      </x:c>
      <x:c r="T73" s="22" t="str">
        <x:v>Design/mockup sale language; not consumer discussion of American Apparel.</x:v>
      </x:c>
    </x:row>
    <x:row r="74">
      <x:c r="A74" s="9" t="str">
        <x:v>Instagram</x:v>
      </x:c>
      <x:c r="B74" s="10" t="str">
        <x:v>IG hashtag</x:v>
      </x:c>
      <x:c r="C74" s="10" t="str">
        <x:v>3924408267259004980</x:v>
      </x:c>
      <x:c r="D74" s="16" t="n">
        <x:v>46194.531747685185</x:v>
      </x:c>
      <x:c r="E74" s="10" t="str">
        <x:v>voidworks.usa</x:v>
      </x:c>
      <x:c r="F74" s="10" t="str">
        <x:v>Sidecar</x:v>
      </x:c>
      <x:c r="G74"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V017 #americanapparel #streetwear #clothing #unitedstates #clothingbrand</x:v>
      </x:c>
      <x:c r="H74" s="19" t="str">
        <x:v>#americanapparel #streetwear #clothing #unitedstates #clothingbrand</x:v>
      </x:c>
      <x:c r="I74" s="19" t="str"/>
      <x:c r="J74" s="25" t="n">
        <x:v>0</x:v>
      </x:c>
      <x:c r="K74" s="25" t="n">
        <x:v>1</x:v>
      </x:c>
      <x:c r="L74" s="25" t="n">
        <x:v>0</x:v>
      </x:c>
      <x:c r="M74" s="25" t="n">
        <x:v>0</x:v>
      </x:c>
      <x:c r="N74" s="19" t="str">
        <x:v>https://www.instagram.com/p/DZ2TIbTlEg0/</x:v>
      </x:c>
      <x:c r="O74" s="19" t="str"/>
      <x:c r="P74" s="19" t="str">
        <x:v>Design-sale noise</x:v>
      </x:c>
      <x:c r="Q74" s="19" t="str">
        <x:v>No</x:v>
      </x:c>
      <x:c r="R74" s="19" t="str">
        <x:v>Skip</x:v>
      </x:c>
      <x:c r="S74" s="19" t="str">
        <x:v>No</x:v>
      </x:c>
      <x:c r="T74" s="22" t="str">
        <x:v>Design/mockup sale language; not consumer discussion of American Apparel.</x:v>
      </x:c>
    </x:row>
    <x:row r="75">
      <x:c r="A75" s="9" t="str">
        <x:v>Instagram</x:v>
      </x:c>
      <x:c r="B75" s="10" t="str">
        <x:v>IG hashtag</x:v>
      </x:c>
      <x:c r="C75" s="10" t="str">
        <x:v>3924451482758498657</x:v>
      </x:c>
      <x:c r="D75" s="16" t="n">
        <x:v>46194.591365740744</x:v>
      </x:c>
      <x:c r="E75" s="10" t="str">
        <x:v>sixsensestudio.id</x:v>
      </x:c>
      <x:c r="F75" s="10" t="str">
        <x:v>Sidecar</x:v>
      </x:c>
      <x:c r="G75" s="19" t="str">
        <x:v>(AVAILABLE ) DESIGN FOR SALE🚨 Want this vibe for your brand? Slide to see other, then hit me on DM! [CODE: 013] • Exclusive for one buyer • All text can be changed • Colors can be changed • Digital Product, PNG/PSD Files #designforsales #clothingdesigner #graphicdesigner #americanapparel #streetweardesign</x:v>
      </x:c>
      <x:c r="H75" s="19" t="str">
        <x:v>#designforsales #clothingdesigner #graphicdesigner #americanapparel #streetweardesign</x:v>
      </x:c>
      <x:c r="I75" s="19" t="str"/>
      <x:c r="J75" s="25" t="n">
        <x:v>0</x:v>
      </x:c>
      <x:c r="K75" s="25" t="n">
        <x:v>3</x:v>
      </x:c>
      <x:c r="L75" s="25" t="n">
        <x:v>0</x:v>
      </x:c>
      <x:c r="M75" s="25" t="n">
        <x:v>0</x:v>
      </x:c>
      <x:c r="N75" s="19" t="str">
        <x:v>https://www.instagram.com/p/DZ2c9S4E0lh/</x:v>
      </x:c>
      <x:c r="O75" s="19" t="str"/>
      <x:c r="P75" s="19" t="str">
        <x:v>Design-sale noise</x:v>
      </x:c>
      <x:c r="Q75" s="19" t="str">
        <x:v>No</x:v>
      </x:c>
      <x:c r="R75" s="19" t="str">
        <x:v>Skip</x:v>
      </x:c>
      <x:c r="S75" s="19" t="str">
        <x:v>No</x:v>
      </x:c>
      <x:c r="T75" s="22" t="str">
        <x:v>Design/mockup sale language; not consumer discussion of American Apparel.</x:v>
      </x:c>
    </x:row>
    <x:row r="76">
      <x:c r="A76" s="9" t="str">
        <x:v>Instagram</x:v>
      </x:c>
      <x:c r="B76" s="10" t="str">
        <x:v>IG hashtag</x:v>
      </x:c>
      <x:c r="C76" s="10" t="str">
        <x:v>3924499217419400628</x:v>
      </x:c>
      <x:c r="D76" s="16" t="n">
        <x:v>46194.65723379629</x:v>
      </x:c>
      <x:c r="E76" s="10" t="str">
        <x:v>voidworks.usa</x:v>
      </x:c>
      <x:c r="F76" s="10" t="str">
        <x:v>Sidecar</x:v>
      </x:c>
      <x:c r="G76"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V018 #americanapparel #streetwear #clothing #unitedstates #clothingbrand</x:v>
      </x:c>
      <x:c r="H76" s="19" t="str">
        <x:v>#americanapparel #streetwear #clothing #unitedstates #clothingbrand</x:v>
      </x:c>
      <x:c r="I76" s="19" t="str"/>
      <x:c r="J76" s="25" t="n">
        <x:v>0</x:v>
      </x:c>
      <x:c r="K76" s="25" t="n">
        <x:v>1</x:v>
      </x:c>
      <x:c r="L76" s="25" t="n">
        <x:v>0</x:v>
      </x:c>
      <x:c r="M76" s="25" t="n">
        <x:v>0</x:v>
      </x:c>
      <x:c r="N76" s="19" t="str">
        <x:v>https://www.instagram.com/p/DZ2nz7PlPW0/</x:v>
      </x:c>
      <x:c r="O76" s="19" t="str"/>
      <x:c r="P76" s="19" t="str">
        <x:v>Design-sale noise</x:v>
      </x:c>
      <x:c r="Q76" s="19" t="str">
        <x:v>No</x:v>
      </x:c>
      <x:c r="R76" s="19" t="str">
        <x:v>Skip</x:v>
      </x:c>
      <x:c r="S76" s="19" t="str">
        <x:v>No</x:v>
      </x:c>
      <x:c r="T76" s="22" t="str">
        <x:v>Design/mockup sale language; not consumer discussion of American Apparel.</x:v>
      </x:c>
    </x:row>
    <x:row r="77">
      <x:c r="A77" s="9" t="str">
        <x:v>Instagram</x:v>
      </x:c>
      <x:c r="B77" s="10" t="str">
        <x:v>IG hashtag</x:v>
      </x:c>
      <x:c r="C77" s="10" t="str">
        <x:v>3925244296978092843</x:v>
      </x:c>
      <x:c r="D77" s="16" t="n">
        <x:v>46195.68524305556</x:v>
      </x:c>
      <x:c r="E77" s="10" t="str">
        <x:v>godin.jpg</x:v>
      </x:c>
      <x:c r="F77" s="10" t="str">
        <x:v>Sidecar</x:v>
      </x:c>
      <x:c r="G77"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77" s="19" t="str">
        <x:v>#designforsale #clothingbrand #designs #streetwearbrand #streetwear #streetweardesigner #usastreetwear #americanapparel #urbanfashion #fashiondesigners</x:v>
      </x:c>
      <x:c r="I77" s="19" t="str"/>
      <x:c r="J77" s="25" t="n">
        <x:v>0</x:v>
      </x:c>
      <x:c r="K77" s="25" t="n">
        <x:v>2</x:v>
      </x:c>
      <x:c r="L77" s="25" t="n">
        <x:v>0</x:v>
      </x:c>
      <x:c r="M77" s="25" t="n">
        <x:v>0</x:v>
      </x:c>
      <x:c r="N77" s="19" t="str">
        <x:v>https://www.instagram.com/p/DZ5ROQqAdMr/</x:v>
      </x:c>
      <x:c r="O77" s="19" t="str"/>
      <x:c r="P77" s="19" t="str">
        <x:v>Design-sale noise</x:v>
      </x:c>
      <x:c r="Q77" s="19" t="str">
        <x:v>No</x:v>
      </x:c>
      <x:c r="R77" s="19" t="str">
        <x:v>Skip</x:v>
      </x:c>
      <x:c r="S77" s="19" t="str">
        <x:v>No</x:v>
      </x:c>
      <x:c r="T77" s="22" t="str">
        <x:v>Design/mockup sale language; not consumer discussion of American Apparel.</x:v>
      </x:c>
    </x:row>
    <x:row r="78">
      <x:c r="A78" s="9" t="str">
        <x:v>Instagram</x:v>
      </x:c>
      <x:c r="B78" s="10" t="str">
        <x:v>IG hashtag</x:v>
      </x:c>
      <x:c r="C78" s="10" t="str">
        <x:v>3925474708477355363</x:v>
      </x:c>
      <x:c r="D78" s="16" t="n">
        <x:v>46196.00314814815</x:v>
      </x:c>
      <x:c r="E78" s="10" t="str">
        <x:v>voidworks.usa</x:v>
      </x:c>
      <x:c r="F78" s="10" t="str">
        <x:v>Sidecar</x:v>
      </x:c>
      <x:c r="G78" s="19" t="str">
        <x:v>sold, thank you!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V020 #americanapparel #streetwear #clothing #unitedstates #clothingbrand</x:v>
      </x:c>
      <x:c r="H78" s="19" t="str">
        <x:v>#americanapparel #streetwear #clothing #unitedstates #clothingbrand</x:v>
      </x:c>
      <x:c r="I78" s="19" t="str"/>
      <x:c r="J78" s="25" t="n">
        <x:v>0</x:v>
      </x:c>
      <x:c r="K78" s="25" t="n">
        <x:v>3</x:v>
      </x:c>
      <x:c r="L78" s="25" t="n">
        <x:v>0</x:v>
      </x:c>
      <x:c r="M78" s="25" t="n">
        <x:v>0</x:v>
      </x:c>
      <x:c r="N78" s="19" t="str">
        <x:v>https://www.instagram.com/p/DZ6FnMFkqVj/</x:v>
      </x:c>
      <x:c r="O78" s="19" t="str"/>
      <x:c r="P78" s="19" t="str">
        <x:v>Design-sale noise</x:v>
      </x:c>
      <x:c r="Q78" s="19" t="str">
        <x:v>No</x:v>
      </x:c>
      <x:c r="R78" s="19" t="str">
        <x:v>Skip</x:v>
      </x:c>
      <x:c r="S78" s="19" t="str">
        <x:v>No</x:v>
      </x:c>
      <x:c r="T78" s="22" t="str">
        <x:v>Design/mockup sale language; not consumer discussion of American Apparel.</x:v>
      </x:c>
    </x:row>
    <x:row r="79">
      <x:c r="A79" s="9" t="str">
        <x:v>Instagram</x:v>
      </x:c>
      <x:c r="B79" s="10" t="str">
        <x:v>IG hashtag</x:v>
      </x:c>
      <x:c r="C79" s="10" t="str">
        <x:v>3925853613570918740</x:v>
      </x:c>
      <x:c r="D79" s="16" t="n">
        <x:v>46196.5259375</x:v>
      </x:c>
      <x:c r="E79" s="10" t="str">
        <x:v>voidworks.usa</x:v>
      </x:c>
      <x:c r="F79" s="10" t="str">
        <x:v>Sidecar</x:v>
      </x:c>
      <x:c r="G79"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V021 #americanapparel #streetwear #clothing #unitedstates #clothingbrand</x:v>
      </x:c>
      <x:c r="H79" s="19" t="str">
        <x:v>#americanapparel #streetwear #clothing #unitedstates #clothingbrand</x:v>
      </x:c>
      <x:c r="I79" s="19" t="str"/>
      <x:c r="J79" s="25" t="n">
        <x:v>0</x:v>
      </x:c>
      <x:c r="K79" s="25" t="n">
        <x:v>1</x:v>
      </x:c>
      <x:c r="L79" s="25" t="n">
        <x:v>0</x:v>
      </x:c>
      <x:c r="M79" s="25" t="n">
        <x:v>0</x:v>
      </x:c>
      <x:c r="N79" s="19" t="str">
        <x:v>https://www.instagram.com/p/DZ7bw-9FAlU/</x:v>
      </x:c>
      <x:c r="O79" s="19" t="str"/>
      <x:c r="P79" s="19" t="str">
        <x:v>Design-sale noise</x:v>
      </x:c>
      <x:c r="Q79" s="19" t="str">
        <x:v>No</x:v>
      </x:c>
      <x:c r="R79" s="19" t="str">
        <x:v>Skip</x:v>
      </x:c>
      <x:c r="S79" s="19" t="str">
        <x:v>No</x:v>
      </x:c>
      <x:c r="T79" s="22" t="str">
        <x:v>Design/mockup sale language; not consumer discussion of American Apparel.</x:v>
      </x:c>
    </x:row>
    <x:row r="80">
      <x:c r="A80" s="9" t="str">
        <x:v>Instagram</x:v>
      </x:c>
      <x:c r="B80" s="10" t="str">
        <x:v>IG hashtag</x:v>
      </x:c>
      <x:c r="C80" s="10" t="str">
        <x:v>3926664093034038546</x:v>
      </x:c>
      <x:c r="D80" s="16" t="n">
        <x:v>46197.64418981481</x:v>
      </x:c>
      <x:c r="E80" s="10" t="str">
        <x:v>sixsensestudio.id</x:v>
      </x:c>
      <x:c r="F80" s="10" t="str">
        <x:v>Sidecar</x:v>
      </x:c>
      <x:c r="G80" s="19" t="str">
        <x:v>(AVAILABLE ) BUNDLE DESIGN FOR SALE🚨 Want this vibe for your brand? Slide to see other, then hit me on DM! [CODE: 014] • Exclusive for one buyer • All text can be changed • Colors can be changed • Digital Product, PNG/PSD Files #designforsales #clothingdesigner #graphicdesigner #americanapparel #streetweardesign</x:v>
      </x:c>
      <x:c r="H80" s="19" t="str">
        <x:v>#designforsales #clothingdesigner #graphicdesigner #americanapparel #streetweardesign</x:v>
      </x:c>
      <x:c r="I80" s="19" t="str"/>
      <x:c r="J80" s="25" t="n">
        <x:v>0</x:v>
      </x:c>
      <x:c r="K80" s="25" t="n">
        <x:v>4</x:v>
      </x:c>
      <x:c r="L80" s="25" t="n">
        <x:v>0</x:v>
      </x:c>
      <x:c r="M80" s="25" t="n">
        <x:v>0</x:v>
      </x:c>
      <x:c r="N80" s="19" t="str">
        <x:v>https://www.instagram.com/p/DZ-UDAxk0US/</x:v>
      </x:c>
      <x:c r="O80" s="19" t="str"/>
      <x:c r="P80" s="19" t="str">
        <x:v>Design-sale noise</x:v>
      </x:c>
      <x:c r="Q80" s="19" t="str">
        <x:v>No</x:v>
      </x:c>
      <x:c r="R80" s="19" t="str">
        <x:v>Skip</x:v>
      </x:c>
      <x:c r="S80" s="19" t="str">
        <x:v>No</x:v>
      </x:c>
      <x:c r="T80" s="22" t="str">
        <x:v>Design/mockup sale language; not consumer discussion of American Apparel.</x:v>
      </x:c>
    </x:row>
    <x:row r="81">
      <x:c r="A81" s="9" t="str">
        <x:v>Instagram</x:v>
      </x:c>
      <x:c r="B81" s="10" t="str">
        <x:v>IG hashtag</x:v>
      </x:c>
      <x:c r="C81" s="10" t="str">
        <x:v>3926691184218539289</x:v>
      </x:c>
      <x:c r="D81" s="16" t="n">
        <x:v>46197.68157407407</x:v>
      </x:c>
      <x:c r="E81" s="10" t="str">
        <x:v>godin.jpg</x:v>
      </x:c>
      <x:c r="F81" s="10" t="str">
        <x:v>Sidecar</x:v>
      </x:c>
      <x:c r="G81"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81" s="19" t="str">
        <x:v>#designforsale #clothingbrand #designs #streetwearbrand #streetwear #streetweardesigner #usastreetwear #americanapparel #urbanfashion #fashiondesigners</x:v>
      </x:c>
      <x:c r="I81" s="19" t="str"/>
      <x:c r="J81" s="25" t="n">
        <x:v>0</x:v>
      </x:c>
      <x:c r="K81" s="25" t="n">
        <x:v>3</x:v>
      </x:c>
      <x:c r="L81" s="25" t="n">
        <x:v>0</x:v>
      </x:c>
      <x:c r="M81" s="25" t="n">
        <x:v>0</x:v>
      </x:c>
      <x:c r="N81" s="19" t="str">
        <x:v>https://www.instagram.com/p/DZ-aNPaAQUZ/</x:v>
      </x:c>
      <x:c r="O81" s="19" t="str"/>
      <x:c r="P81" s="19" t="str">
        <x:v>Design-sale noise</x:v>
      </x:c>
      <x:c r="Q81" s="19" t="str">
        <x:v>No</x:v>
      </x:c>
      <x:c r="R81" s="19" t="str">
        <x:v>Skip</x:v>
      </x:c>
      <x:c r="S81" s="19" t="str">
        <x:v>No</x:v>
      </x:c>
      <x:c r="T81" s="22" t="str">
        <x:v>Design/mockup sale language; not consumer discussion of American Apparel.</x:v>
      </x:c>
    </x:row>
    <x:row r="82">
      <x:c r="A82" s="9" t="str">
        <x:v>Instagram</x:v>
      </x:c>
      <x:c r="B82" s="10" t="str">
        <x:v>IG hashtag</x:v>
      </x:c>
      <x:c r="C82" s="10" t="str">
        <x:v>3927280387982948549</x:v>
      </x:c>
      <x:c r="D82" s="16" t="n">
        <x:v>46198.49451388889</x:v>
      </x:c>
      <x:c r="E82" s="10" t="str">
        <x:v>voidworks.usa</x:v>
      </x:c>
      <x:c r="F82" s="10" t="str">
        <x:v>Sidecar</x:v>
      </x:c>
      <x:c r="G82"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V023 #americanapparel #streetwear #clothing #unitedstates #clothingbrand</x:v>
      </x:c>
      <x:c r="H82" s="19" t="str">
        <x:v>#americanapparel #streetwear #clothing #unitedstates #clothingbrand</x:v>
      </x:c>
      <x:c r="I82" s="19" t="str"/>
      <x:c r="J82" s="25" t="n">
        <x:v>0</x:v>
      </x:c>
      <x:c r="K82" s="25" t="n">
        <x:v>1</x:v>
      </x:c>
      <x:c r="L82" s="25" t="n">
        <x:v>0</x:v>
      </x:c>
      <x:c r="M82" s="25" t="n">
        <x:v>0</x:v>
      </x:c>
      <x:c r="N82" s="19" t="str">
        <x:v>https://www.instagram.com/p/DaAgLSLFPjF/</x:v>
      </x:c>
      <x:c r="O82" s="19" t="str"/>
      <x:c r="P82" s="19" t="str">
        <x:v>Design-sale noise</x:v>
      </x:c>
      <x:c r="Q82" s="19" t="str">
        <x:v>No</x:v>
      </x:c>
      <x:c r="R82" s="19" t="str">
        <x:v>Skip</x:v>
      </x:c>
      <x:c r="S82" s="19" t="str">
        <x:v>No</x:v>
      </x:c>
      <x:c r="T82" s="22" t="str">
        <x:v>Design/mockup sale language; not consumer discussion of American Apparel.</x:v>
      </x:c>
    </x:row>
    <x:row r="83">
      <x:c r="A83" s="9" t="str">
        <x:v>Instagram</x:v>
      </x:c>
      <x:c r="B83" s="10" t="str">
        <x:v>IG hashtag</x:v>
      </x:c>
      <x:c r="C83" s="10" t="str">
        <x:v>3928016290875473947</x:v>
      </x:c>
      <x:c r="D83" s="16" t="n">
        <x:v>46199.50987268519</x:v>
      </x:c>
      <x:c r="E83" s="10" t="str">
        <x:v>voidworks.usa</x:v>
      </x:c>
      <x:c r="F83" s="10" t="str">
        <x:v>Sidecar</x:v>
      </x:c>
      <x:c r="G83"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V024 #americanapparel #streetwear #clothing #unitedstates #clothingbrand</x:v>
      </x:c>
      <x:c r="H83" s="19" t="str">
        <x:v>#americanapparel #streetwear #clothing #unitedstates #clothingbrand</x:v>
      </x:c>
      <x:c r="I83" s="19" t="str"/>
      <x:c r="J83" s="25" t="n">
        <x:v>0</x:v>
      </x:c>
      <x:c r="K83" s="25" t="n">
        <x:v>1</x:v>
      </x:c>
      <x:c r="L83" s="25" t="n">
        <x:v>0</x:v>
      </x:c>
      <x:c r="M83" s="25" t="n">
        <x:v>0</x:v>
      </x:c>
      <x:c r="N83" s="19" t="str">
        <x:v>https://www.instagram.com/p/DaDHgFJlIAb/</x:v>
      </x:c>
      <x:c r="O83" s="19" t="str"/>
      <x:c r="P83" s="19" t="str">
        <x:v>Design-sale noise</x:v>
      </x:c>
      <x:c r="Q83" s="19" t="str">
        <x:v>No</x:v>
      </x:c>
      <x:c r="R83" s="19" t="str">
        <x:v>Skip</x:v>
      </x:c>
      <x:c r="S83" s="19" t="str">
        <x:v>No</x:v>
      </x:c>
      <x:c r="T83" s="22" t="str">
        <x:v>Design/mockup sale language; not consumer discussion of American Apparel.</x:v>
      </x:c>
    </x:row>
    <x:row r="84">
      <x:c r="A84" s="9" t="str">
        <x:v>Instagram</x:v>
      </x:c>
      <x:c r="B84" s="10" t="str">
        <x:v>IG hashtag</x:v>
      </x:c>
      <x:c r="C84" s="10" t="str">
        <x:v>3928134748522951325</x:v>
      </x:c>
      <x:c r="D84" s="16" t="n">
        <x:v>46199.673310185186</x:v>
      </x:c>
      <x:c r="E84" s="10" t="str">
        <x:v>godin.jpg</x:v>
      </x:c>
      <x:c r="F84" s="10" t="str">
        <x:v>Sidecar</x:v>
      </x:c>
      <x:c r="G84" s="19" t="str">
        <x:v>DESIGN CONCEPTS (AVAILABLE) can be purchased separately Price? DM NOW!! - DETAILS: - PNG, JPG, PSD - Resolution ( 3500x3500px ) 300dpi - Preview Mockup - One Buyer - Text &amp; Color Can Be Change - #designforsale #clothingbrand #designs #streetwearbrand #streetwear #streetweardesigner #usastreetwear #americanapparel #urbanfashion #fashiondesigners</x:v>
      </x:c>
      <x:c r="H84" s="19" t="str">
        <x:v>#designforsale #clothingbrand #designs #streetwearbrand #streetwear #streetweardesigner #usastreetwear #americanapparel #urbanfashion #fashiondesigners</x:v>
      </x:c>
      <x:c r="I84" s="19" t="str"/>
      <x:c r="J84" s="25" t="n">
        <x:v>0</x:v>
      </x:c>
      <x:c r="K84" s="25" t="n">
        <x:v>2</x:v>
      </x:c>
      <x:c r="L84" s="25" t="n">
        <x:v>0</x:v>
      </x:c>
      <x:c r="M84" s="25" t="n">
        <x:v>0</x:v>
      </x:c>
      <x:c r="N84" s="19" t="str">
        <x:v>https://www.instagram.com/p/DaDib3blDKd/</x:v>
      </x:c>
      <x:c r="O84" s="19" t="str"/>
      <x:c r="P84" s="19" t="str">
        <x:v>Design-sale noise</x:v>
      </x:c>
      <x:c r="Q84" s="19" t="str">
        <x:v>No</x:v>
      </x:c>
      <x:c r="R84" s="19" t="str">
        <x:v>Skip</x:v>
      </x:c>
      <x:c r="S84" s="19" t="str">
        <x:v>No</x:v>
      </x:c>
      <x:c r="T84" s="22" t="str">
        <x:v>Design/mockup sale language; not consumer discussion of American Apparel.</x:v>
      </x:c>
    </x:row>
    <x:row r="85">
      <x:c r="A85" s="9" t="str">
        <x:v>Instagram</x:v>
      </x:c>
      <x:c r="B85" s="10" t="str">
        <x:v>IG hashtag</x:v>
      </x:c>
      <x:c r="C85" s="10" t="str">
        <x:v>3930326548901722132</x:v>
      </x:c>
      <x:c r="D85" s="16" t="n">
        <x:v>46202.69741898148</x:v>
      </x:c>
      <x:c r="E85" s="10" t="str">
        <x:v>voidworks.usa</x:v>
      </x:c>
      <x:c r="F85" s="10" t="str">
        <x:v>Sidecar</x:v>
      </x:c>
      <x:c r="G85" s="19"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V027 #americanapparel #streetwear #clothing #unitedstates #clothingbrand</x:v>
      </x:c>
      <x:c r="H85" s="19" t="str">
        <x:v>#americanapparel #streetwear #clothing #unitedstates #clothingbrand</x:v>
      </x:c>
      <x:c r="I85" s="19" t="str"/>
      <x:c r="J85" s="25" t="n">
        <x:v>0</x:v>
      </x:c>
      <x:c r="K85" s="25" t="n">
        <x:v>3</x:v>
      </x:c>
      <x:c r="L85" s="25" t="n">
        <x:v>0</x:v>
      </x:c>
      <x:c r="M85" s="25" t="n">
        <x:v>0</x:v>
      </x:c>
      <x:c r="N85" s="19" t="str">
        <x:v>https://www.instagram.com/p/DaLUywmkvgU/</x:v>
      </x:c>
      <x:c r="O85" s="19" t="str"/>
      <x:c r="P85" s="19" t="str">
        <x:v>Design-sale noise</x:v>
      </x:c>
      <x:c r="Q85" s="19" t="str">
        <x:v>No</x:v>
      </x:c>
      <x:c r="R85" s="19" t="str">
        <x:v>Skip</x:v>
      </x:c>
      <x:c r="S85" s="19" t="str">
        <x:v>No</x:v>
      </x:c>
      <x:c r="T85" s="22" t="str">
        <x:v>Design/mockup sale language; not consumer discussion of American Apparel.</x:v>
      </x:c>
    </x:row>
    <x:row r="86">
      <x:c r="A86" s="9" t="str">
        <x:v>Instagram</x:v>
      </x:c>
      <x:c r="B86" s="10" t="str">
        <x:v>IG hashtag</x:v>
      </x:c>
      <x:c r="C86" s="10" t="str">
        <x:v>3930343475685467792</x:v>
      </x:c>
      <x:c r="D86" s="16" t="n">
        <x:v>46202.72077546296</x:v>
      </x:c>
      <x:c r="E86" s="10" t="str">
        <x:v>godin.jpg</x:v>
      </x:c>
      <x:c r="F86" s="10" t="str">
        <x:v>Sidecar</x:v>
      </x:c>
      <x:c r="G86" s="19" t="str">
        <x:v>DESIGN CR7 "THE MISSING PIECE" (AVAILABLE) Price? DM NOW!! - DETAILS: - PNG, JPG, PSD - Resolution ( 3500x3500px ) 300dpi - Preview Mockup - One Buyer - Text &amp; Color Can Be Change - #designforsale #clothingbrand #designs #streetwearbrand #streetwear #streetweardesigner #usastreetwear #americanapparel #urbanfashion #fashiondesigners</x:v>
      </x:c>
      <x:c r="H86" s="19" t="str">
        <x:v>#designforsale #clothingbrand #designs #streetwearbrand #streetwear #streetweardesigner #usastreetwear #americanapparel #urbanfashion #fashiondesigners</x:v>
      </x:c>
      <x:c r="I86" s="19" t="str"/>
      <x:c r="J86" s="25" t="n">
        <x:v>0</x:v>
      </x:c>
      <x:c r="K86" s="25" t="n">
        <x:v>2</x:v>
      </x:c>
      <x:c r="L86" s="25" t="n">
        <x:v>0</x:v>
      </x:c>
      <x:c r="M86" s="25" t="n">
        <x:v>0</x:v>
      </x:c>
      <x:c r="N86" s="19" t="str">
        <x:v>https://www.instagram.com/p/DaLYpE5gaaQ/</x:v>
      </x:c>
      <x:c r="O86" s="19" t="str"/>
      <x:c r="P86" s="19" t="str">
        <x:v>Design-sale noise</x:v>
      </x:c>
      <x:c r="Q86" s="19" t="str">
        <x:v>No</x:v>
      </x:c>
      <x:c r="R86" s="19" t="str">
        <x:v>Skip</x:v>
      </x:c>
      <x:c r="S86" s="19" t="str">
        <x:v>No</x:v>
      </x:c>
      <x:c r="T86" s="22" t="str">
        <x:v>Design/mockup sale language; not consumer discussion of American Apparel.</x:v>
      </x:c>
    </x:row>
    <x:row r="87">
      <x:c r="A87" s="12" t="str">
        <x:v>Instagram</x:v>
      </x:c>
      <x:c r="B87" s="13" t="str">
        <x:v>IG hashtag</x:v>
      </x:c>
      <x:c r="C87" s="13" t="str">
        <x:v>3931115643596840783</x:v>
      </x:c>
      <x:c r="D87" s="17" t="n">
        <x:v>46203.786157407405</x:v>
      </x:c>
      <x:c r="E87" s="13" t="str">
        <x:v>voidworks.usa</x:v>
      </x:c>
      <x:c r="F87" s="13" t="str">
        <x:v>Sidecar</x:v>
      </x:c>
      <x:c r="G87" s="20" t="str">
        <x:v>NEW GRAPHIC UP FOR GRABS 🛒 Message me if you wanna make it yours 📲 • Fully customizable text &amp; color options • Easy to adapt for any clothing brand • High-resolution digital files included • Available in PNG &amp; PSD format • Open for custom graphics and branding work Got questions? My DMs are open 🤝 Preview brand is only used as an example. Your logo/name gets added after purchase. CODE : V028 #americanapparel #streetwear #clothing #unitedstates #clothingbrand</x:v>
      </x:c>
      <x:c r="H87" s="20" t="str">
        <x:v>#americanapparel #streetwear #clothing #unitedstates #clothingbrand</x:v>
      </x:c>
      <x:c r="I87" s="20" t="str"/>
      <x:c r="J87" s="26" t="n">
        <x:v>0</x:v>
      </x:c>
      <x:c r="K87" s="26" t="n">
        <x:v>2</x:v>
      </x:c>
      <x:c r="L87" s="26" t="n">
        <x:v>0</x:v>
      </x:c>
      <x:c r="M87" s="26" t="n">
        <x:v>0</x:v>
      </x:c>
      <x:c r="N87" s="20" t="str">
        <x:v>https://www.instagram.com/p/DaOINmTkh9P/</x:v>
      </x:c>
      <x:c r="O87" s="20" t="str"/>
      <x:c r="P87" s="20" t="str">
        <x:v>Design-sale noise</x:v>
      </x:c>
      <x:c r="Q87" s="20" t="str">
        <x:v>No</x:v>
      </x:c>
      <x:c r="R87" s="20" t="str">
        <x:v>Skip</x:v>
      </x:c>
      <x:c r="S87" s="20" t="str">
        <x:v>No</x:v>
      </x:c>
      <x:c r="T87" s="23" t="str">
        <x:v>Design/mockup sale language; not consumer discussion of American Apparel.</x:v>
      </x:c>
    </x:row>
  </x:sheetData>
  <x:conditionalFormatting sqref="P2:P87">
    <x:cfRule type="containsText" dxfId="15" priority="1" operator="containsText" text="Likely relevant"/>
    <x:cfRule type="containsText" dxfId="16" priority="2" operator="containsText" text="Ambiguous"/>
    <x:cfRule type="containsText" dxfId="17" priority="3" operator="containsText" text="Giveaway"/>
    <x:cfRule type="containsText" dxfId="18" priority="4" operator="containsText" text="Design-sale"/>
  </x:conditionalFormatting>
  <x:conditionalFormatting sqref="S2:S87">
    <x:cfRule type="containsText" dxfId="19" priority="5" operator="containsText" text="Yes"/>
  </x:conditionalFormatting>
  <x:pageMargins left="0.7" right="0.7" top="0.75" bottom="0.75" header="0.3" footer="0.3"/>
  <x:tableParts count="1">
    <x:tablePart xmlns:r="http://schemas.openxmlformats.org/officeDocument/2006/relationships" r:id="R8927e1fe61bb490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2" hidden="0" customWidth="1"/>
    <x:col min="2" max="2" width="16" hidden="0" customWidth="1"/>
    <x:col min="3" max="3" width="16" hidden="0" customWidth="1"/>
    <x:col min="4" max="4" width="18" hidden="0" customWidth="1"/>
    <x:col min="5" max="5" width="20" hidden="0" customWidth="1"/>
    <x:col min="6" max="6" width="58" hidden="0" customWidth="1"/>
    <x:col min="7" max="7" width="10" hidden="0" customWidth="1"/>
    <x:col min="8" max="8" width="48" hidden="0" customWidth="1"/>
    <x:col min="9" max="9" width="58" hidden="0" customWidth="1"/>
    <x:col min="10" max="10" width="18" hidden="0" customWidth="1"/>
    <x:col min="11" max="11" width="24" hidden="0" customWidth="1"/>
    <x:col min="12" max="12" width="28" hidden="0" customWidth="1"/>
    <x:col min="13" max="13" width="25" hidden="0" customWidth="1"/>
    <x:col min="14" max="14" width="48" hidden="0" customWidth="1"/>
  </x:cols>
  <x:sheetData>
    <x:row r="1" ht="34" customHeight="1">
      <x:c r="A1" s="4" t="str">
        <x:v>Platform</x:v>
      </x:c>
      <x:c r="B1" s="4" t="str">
        <x:v>Parent Published Date</x:v>
      </x:c>
      <x:c r="C1" s="4" t="str">
        <x:v>Comment Date</x:v>
      </x:c>
      <x:c r="D1" s="4" t="str">
        <x:v>Parent Author</x:v>
      </x:c>
      <x:c r="E1" s="4" t="str">
        <x:v>Comment Author</x:v>
      </x:c>
      <x:c r="F1" s="4" t="str">
        <x:v>Comment Text</x:v>
      </x:c>
      <x:c r="G1" s="4" t="str">
        <x:v>Likes</x:v>
      </x:c>
      <x:c r="H1" s="4" t="str">
        <x:v>Parent URL</x:v>
      </x:c>
      <x:c r="I1" s="4" t="str">
        <x:v>Parent Post Text</x:v>
      </x:c>
      <x:c r="J1" s="4" t="str">
        <x:v>Include in June Analysis?</x:v>
      </x:c>
      <x:c r="K1" s="4" t="str">
        <x:v>Preliminary Relevance</x:v>
      </x:c>
      <x:c r="L1" s="4" t="str">
        <x:v>Conversation Topic</x:v>
      </x:c>
      <x:c r="M1" s="4" t="str">
        <x:v>Back / Dead / Unaware Signal</x:v>
      </x:c>
      <x:c r="N1" s="4" t="str">
        <x:v>Notes</x:v>
      </x:c>
    </x:row>
    <x:row r="2">
      <x:c r="A2" s="6" t="str">
        <x:v>TikTok</x:v>
      </x:c>
      <x:c r="B2" s="15" t="n">
        <x:v>46201.91395833333</x:v>
      </x:c>
      <x:c r="C2" s="15" t="n">
        <x:v>46201.940150462964</x:v>
      </x:c>
      <x:c r="D2" s="15" t="str">
        <x:v>hellofromniko</x:v>
      </x:c>
      <x:c r="E2" s="7" t="str">
        <x:v>totallytikaac</x:v>
      </x:c>
      <x:c r="F2" s="18" t="str">
        <x:v>Could you just start making them and selling. At no point am I going to screen print my own</x:v>
      </x:c>
      <x:c r="G2" s="7" t="n">
        <x:v>17</x:v>
      </x:c>
      <x:c r="H2" s="18" t="str">
        <x:v>https://www.tiktok.com/@hellofromniko/video/7656568396028366111</x:v>
      </x:c>
      <x:c r="I2" s="18" t="str">
        <x:v>Replying to @Kevs Let’s talk blanks! Here are the two t-shirts I use for my screen printing projects! Hope this helps! @everybody.world #screenprinting #screenprint #blanks #tshirts #diy</x:v>
      </x:c>
      <x:c r="J2" s="18" t="str">
        <x:v>Yes</x:v>
      </x:c>
      <x:c r="K2" s="18" t="str">
        <x:v>Contextual to AA blank review</x:v>
      </x:c>
      <x:c r="L2" s="18" t="str">
        <x:v>Demand / creator expectation</x:v>
      </x:c>
      <x:c r="M2" s="18" t="str">
        <x:v>No</x:v>
      </x:c>
      <x:c r="N2" s="21" t="str">
        <x:v>Pulled from the validated TikTok comments actor.</x:v>
      </x:c>
    </x:row>
    <x:row r="3">
      <x:c r="A3" s="9" t="str">
        <x:v>TikTok</x:v>
      </x:c>
      <x:c r="B3" s="16" t="n">
        <x:v>46201.91395833333</x:v>
      </x:c>
      <x:c r="C3" s="16" t="n">
        <x:v>46202.33280092593</x:v>
      </x:c>
      <x:c r="D3" s="16" t="str">
        <x:v>hellofromniko</x:v>
      </x:c>
      <x:c r="E3" s="10" t="str">
        <x:v>jordan_coloma</x:v>
      </x:c>
      <x:c r="F3" s="19" t="str">
        <x:v>Blessings to you bro I just ordered the American apparel blanks, you is quite literally the only one with review content on it I’ve seen 😭</x:v>
      </x:c>
      <x:c r="G3" s="10" t="n">
        <x:v>0</x:v>
      </x:c>
      <x:c r="H3" s="19" t="str">
        <x:v>https://www.tiktok.com/@hellofromniko/video/7656568396028366111</x:v>
      </x:c>
      <x:c r="I3" s="19" t="str">
        <x:v>Replying to @Kevs Let’s talk blanks! Here are the two t-shirts I use for my screen printing projects! Hope this helps! @everybody.world #screenprinting #screenprint #blanks #tshirts #diy</x:v>
      </x:c>
      <x:c r="J3" s="19" t="str">
        <x:v>Yes</x:v>
      </x:c>
      <x:c r="K3" s="19" t="str">
        <x:v>Direct AA mention</x:v>
      </x:c>
      <x:c r="L3" s="19" t="str">
        <x:v>Product research / availability</x:v>
      </x:c>
      <x:c r="M3" s="19" t="str">
        <x:v>No</x:v>
      </x:c>
      <x:c r="N3" s="22" t="str">
        <x:v>Pulled from the validated TikTok comments actor.</x:v>
      </x:c>
    </x:row>
    <x:row r="4">
      <x:c r="A4" s="9" t="str">
        <x:v>TikTok</x:v>
      </x:c>
      <x:c r="B4" s="16" t="n">
        <x:v>46201.91395833333</x:v>
      </x:c>
      <x:c r="C4" s="16" t="n">
        <x:v>46202.947696759256</x:v>
      </x:c>
      <x:c r="D4" s="16" t="str">
        <x:v>hellofromniko</x:v>
      </x:c>
      <x:c r="E4" s="10" t="str">
        <x:v>hello_grn_eyes</x:v>
      </x:c>
      <x:c r="F4" s="19" t="str">
        <x:v>Comfort colors also has a cropped boxy tee, it’s technically women’s but you could always size up</x:v>
      </x:c>
      <x:c r="G4" s="10" t="n">
        <x:v>2</x:v>
      </x:c>
      <x:c r="H4" s="19" t="str">
        <x:v>https://www.tiktok.com/@hellofromniko/video/7656568396028366111</x:v>
      </x:c>
      <x:c r="I4" s="19" t="str">
        <x:v>Replying to @Kevs Let’s talk blanks! Here are the two t-shirts I use for my screen printing projects! Hope this helps! @everybody.world #screenprinting #screenprint #blanks #tshirts #diy</x:v>
      </x:c>
      <x:c r="J4" s="19" t="str">
        <x:v>Yes</x:v>
      </x:c>
      <x:c r="K4" s="19" t="str">
        <x:v>Relevant comparison</x:v>
      </x:c>
      <x:c r="L4" s="19" t="str">
        <x:v>Competitor alternative</x:v>
      </x:c>
      <x:c r="M4" s="19" t="str">
        <x:v>No</x:v>
      </x:c>
      <x:c r="N4" s="22" t="str">
        <x:v>Pulled from the validated TikTok comments actor.</x:v>
      </x:c>
    </x:row>
    <x:row r="5">
      <x:c r="A5" s="9" t="str">
        <x:v>TikTok</x:v>
      </x:c>
      <x:c r="B5" s="16" t="n">
        <x:v>46201.91395833333</x:v>
      </x:c>
      <x:c r="C5" s="16" t="n">
        <x:v>46203.25467592593</x:v>
      </x:c>
      <x:c r="D5" s="16" t="str">
        <x:v>hellofromniko</x:v>
      </x:c>
      <x:c r="E5" s="10" t="str">
        <x:v>dani.tatiana</x:v>
      </x:c>
      <x:c r="F5" s="19" t="str">
        <x:v>what size is the American apparel blank? 👀</x:v>
      </x:c>
      <x:c r="G5" s="10" t="n">
        <x:v>1</x:v>
      </x:c>
      <x:c r="H5" s="19" t="str">
        <x:v>https://www.tiktok.com/@hellofromniko/video/7656568396028366111</x:v>
      </x:c>
      <x:c r="I5" s="19" t="str">
        <x:v>Replying to @Kevs Let’s talk blanks! Here are the two t-shirts I use for my screen printing projects! Hope this helps! @everybody.world #screenprinting #screenprint #blanks #tshirts #diy</x:v>
      </x:c>
      <x:c r="J5" s="19" t="str">
        <x:v>Yes</x:v>
      </x:c>
      <x:c r="K5" s="19" t="str">
        <x:v>Direct AA mention</x:v>
      </x:c>
      <x:c r="L5" s="19" t="str">
        <x:v>Sizing</x:v>
      </x:c>
      <x:c r="M5" s="19" t="str">
        <x:v>No</x:v>
      </x:c>
      <x:c r="N5" s="22" t="str">
        <x:v>Pulled from the validated TikTok comments actor.</x:v>
      </x:c>
    </x:row>
    <x:row r="6">
      <x:c r="A6" s="9" t="str">
        <x:v>TikTok</x:v>
      </x:c>
      <x:c r="B6" s="16" t="n">
        <x:v>46201.91395833333</x:v>
      </x:c>
      <x:c r="C6" s="16" t="n">
        <x:v>46203.632256944446</x:v>
      </x:c>
      <x:c r="D6" s="16" t="str">
        <x:v>hellofromniko</x:v>
      </x:c>
      <x:c r="E6" s="10" t="str">
        <x:v>armanimar</x:v>
      </x:c>
      <x:c r="F6" s="19" t="str">
        <x:v>Did you make further adjustments to the length of the American apparel? It looks nicely cropped! And if you didn’t what’s your height if you don’t mind me asking bro</x:v>
      </x:c>
      <x:c r="G6" s="10" t="n">
        <x:v>0</x:v>
      </x:c>
      <x:c r="H6" s="19" t="str">
        <x:v>https://www.tiktok.com/@hellofromniko/video/7656568396028366111</x:v>
      </x:c>
      <x:c r="I6" s="19" t="str">
        <x:v>Replying to @Kevs Let’s talk blanks! Here are the two t-shirts I use for my screen printing projects! Hope this helps! @everybody.world #screenprinting #screenprint #blanks #tshirts #diy</x:v>
      </x:c>
      <x:c r="J6" s="19" t="str">
        <x:v>Yes</x:v>
      </x:c>
      <x:c r="K6" s="19" t="str">
        <x:v>Direct AA mention</x:v>
      </x:c>
      <x:c r="L6" s="19" t="str">
        <x:v>Fit / alteration</x:v>
      </x:c>
      <x:c r="M6" s="19" t="str">
        <x:v>No</x:v>
      </x:c>
      <x:c r="N6" s="22" t="str">
        <x:v>Pulled from the validated TikTok comments actor.</x:v>
      </x:c>
    </x:row>
    <x:row r="7">
      <x:c r="A7" s="9" t="str">
        <x:v>Instagram</x:v>
      </x:c>
      <x:c r="B7" s="16"/>
      <x:c r="C7" s="16" t="n">
        <x:v>46217.7628125</x:v>
      </x:c>
      <x:c r="D7" s="16" t="str"/>
      <x:c r="E7" s="10" t="str">
        <x:v>thearinnadiaries</x:v>
      </x:c>
      <x:c r="F7" s="19" t="str">
        <x:v>✨fishionista✨</x:v>
      </x:c>
      <x:c r="G7" s="10" t="n">
        <x:v>81</x:v>
      </x:c>
      <x:c r="H7" s="19" t="str">
        <x:v>https://www.instagram.com/p/DayFOjpuV-J/</x:v>
      </x:c>
      <x:c r="I7" s="19" t="str"/>
      <x:c r="J7" s="19" t="str">
        <x:v>No</x:v>
      </x:c>
      <x:c r="K7" s="19" t="str">
        <x:v>Not AA relevant</x:v>
      </x:c>
      <x:c r="L7" s="19" t="str">
        <x:v>Outside-period test</x:v>
      </x:c>
      <x:c r="M7" s="19" t="str">
        <x:v>No</x:v>
      </x:c>
      <x:c r="N7" s="22" t="str">
        <x:v>July validation pull; retained for actor QA only and excluded from June analysis.</x:v>
      </x:c>
    </x:row>
    <x:row r="8">
      <x:c r="A8" s="9" t="str">
        <x:v>Instagram</x:v>
      </x:c>
      <x:c r="B8" s="16"/>
      <x:c r="C8" s="16" t="n">
        <x:v>46217.75678240741</x:v>
      </x:c>
      <x:c r="D8" s="16" t="str"/>
      <x:c r="E8" s="10" t="str">
        <x:v>horse_creature</x:v>
      </x:c>
      <x:c r="F8" s="19" t="str">
        <x:v>The tank top is the most rainbow trout thing ever</x:v>
      </x:c>
      <x:c r="G8" s="10" t="n">
        <x:v>48</x:v>
      </x:c>
      <x:c r="H8" s="19" t="str">
        <x:v>https://www.instagram.com/p/DayFOjpuV-J/</x:v>
      </x:c>
      <x:c r="I8" s="19" t="str"/>
      <x:c r="J8" s="19" t="str">
        <x:v>No</x:v>
      </x:c>
      <x:c r="K8" s="19" t="str">
        <x:v>Not AA relevant</x:v>
      </x:c>
      <x:c r="L8" s="19" t="str">
        <x:v>Outside-period test</x:v>
      </x:c>
      <x:c r="M8" s="19" t="str">
        <x:v>No</x:v>
      </x:c>
      <x:c r="N8" s="22" t="str">
        <x:v>July validation pull; retained for actor QA only and excluded from June analysis.</x:v>
      </x:c>
    </x:row>
    <x:row r="9">
      <x:c r="A9" s="9" t="str">
        <x:v>Instagram</x:v>
      </x:c>
      <x:c r="B9" s="16"/>
      <x:c r="C9" s="16" t="n">
        <x:v>46218.10365740741</x:v>
      </x:c>
      <x:c r="D9" s="16" t="str"/>
      <x:c r="E9" s="10" t="str">
        <x:v>kelli320376</x:v>
      </x:c>
      <x:c r="F9" s="19" t="str">
        <x:v>I’ve been wondering…when you go out in your creations, do people say “hey ya know…you’re looking very {insert fish inspo of that day}”?</x:v>
      </x:c>
      <x:c r="G9" s="10" t="n">
        <x:v>4</x:v>
      </x:c>
      <x:c r="H9" s="19" t="str">
        <x:v>https://www.instagram.com/p/DayFOjpuV-J/</x:v>
      </x:c>
      <x:c r="I9" s="19" t="str"/>
      <x:c r="J9" s="19" t="str">
        <x:v>No</x:v>
      </x:c>
      <x:c r="K9" s="19" t="str">
        <x:v>Not AA relevant</x:v>
      </x:c>
      <x:c r="L9" s="19" t="str">
        <x:v>Outside-period test</x:v>
      </x:c>
      <x:c r="M9" s="19" t="str">
        <x:v>No</x:v>
      </x:c>
      <x:c r="N9" s="22" t="str">
        <x:v>July validation pull; retained for actor QA only and excluded from June analysis.</x:v>
      </x:c>
    </x:row>
    <x:row r="10">
      <x:c r="A10" s="9" t="str">
        <x:v>Instagram</x:v>
      </x:c>
      <x:c r="B10" s="16"/>
      <x:c r="C10" s="16" t="n">
        <x:v>46217.75431712963</x:v>
      </x:c>
      <x:c r="D10" s="16" t="str"/>
      <x:c r="E10" s="10" t="str">
        <x:v>nadeen_tantash</x:v>
      </x:c>
      <x:c r="F10" s="19" t="str">
        <x:v>is your name actually squid?</x:v>
      </x:c>
      <x:c r="G10" s="10" t="n">
        <x:v>4</x:v>
      </x:c>
      <x:c r="H10" s="19" t="str">
        <x:v>https://www.instagram.com/p/DayFOjpuV-J/</x:v>
      </x:c>
      <x:c r="I10" s="19" t="str"/>
      <x:c r="J10" s="19" t="str">
        <x:v>No</x:v>
      </x:c>
      <x:c r="K10" s="19" t="str">
        <x:v>Not AA relevant</x:v>
      </x:c>
      <x:c r="L10" s="19" t="str">
        <x:v>Outside-period test</x:v>
      </x:c>
      <x:c r="M10" s="19" t="str">
        <x:v>No</x:v>
      </x:c>
      <x:c r="N10" s="22" t="str">
        <x:v>July validation pull; retained for actor QA only and excluded from June analysis.</x:v>
      </x:c>
    </x:row>
    <x:row r="11">
      <x:c r="A11" s="9" t="str">
        <x:v>Instagram</x:v>
      </x:c>
      <x:c r="B11" s="16"/>
      <x:c r="C11" s="16" t="n">
        <x:v>46218.311793981484</x:v>
      </x:c>
      <x:c r="D11" s="16" t="str"/>
      <x:c r="E11" s="10" t="str">
        <x:v>astrout08</x:v>
      </x:c>
      <x:c r="F11" s="19" t="str">
        <x:v>Growing up I was “Alice Strout, who caught a trout, fishing down the sink spout.” 🤭 I was not a fan of fishing, but I was a fan of rainbow brite, and imagined having a pet rainbow trout! 🤣🤣🤭🤭 This is so nostalgic! 🥰🥰 And you nailed it with the “knocky-offy” &amp; Mark Twain touches !! 👏👏👏👏 🌈 🐟</x:v>
      </x:c>
      <x:c r="G11" s="10" t="n">
        <x:v>1</x:v>
      </x:c>
      <x:c r="H11" s="19" t="str">
        <x:v>https://www.instagram.com/p/DayFOjpuV-J/</x:v>
      </x:c>
      <x:c r="I11" s="19" t="str"/>
      <x:c r="J11" s="19" t="str">
        <x:v>No</x:v>
      </x:c>
      <x:c r="K11" s="19" t="str">
        <x:v>Not AA relevant</x:v>
      </x:c>
      <x:c r="L11" s="19" t="str">
        <x:v>Outside-period test</x:v>
      </x:c>
      <x:c r="M11" s="19" t="str">
        <x:v>No</x:v>
      </x:c>
      <x:c r="N11" s="22" t="str">
        <x:v>July validation pull; retained for actor QA only and excluded from June analysis.</x:v>
      </x:c>
    </x:row>
    <x:row r="12">
      <x:c r="A12" s="9" t="str">
        <x:v>Instagram</x:v>
      </x:c>
      <x:c r="B12" s="16"/>
      <x:c r="C12" s="16" t="n">
        <x:v>46217.75686342592</x:v>
      </x:c>
      <x:c r="D12" s="16" t="str"/>
      <x:c r="E12" s="10" t="str">
        <x:v>horse_creature</x:v>
      </x:c>
      <x:c r="F12" s="19" t="str">
        <x:v>@nadeen_tantash don't ask that</x:v>
      </x:c>
      <x:c r="G12" s="10" t="n">
        <x:v>4</x:v>
      </x:c>
      <x:c r="H12" s="19" t="str">
        <x:v>https://www.instagram.com/p/DayFOjpuV-J/</x:v>
      </x:c>
      <x:c r="I12" s="19" t="str"/>
      <x:c r="J12" s="19" t="str">
        <x:v>No</x:v>
      </x:c>
      <x:c r="K12" s="19" t="str">
        <x:v>Not AA relevant</x:v>
      </x:c>
      <x:c r="L12" s="19" t="str">
        <x:v>Outside-period test</x:v>
      </x:c>
      <x:c r="M12" s="19" t="str">
        <x:v>No</x:v>
      </x:c>
      <x:c r="N12" s="22" t="str">
        <x:v>July validation pull; retained for actor QA only and excluded from June analysis.</x:v>
      </x:c>
    </x:row>
    <x:row r="13">
      <x:c r="A13" s="9" t="str">
        <x:v>Instagram</x:v>
      </x:c>
      <x:c r="B13" s="16"/>
      <x:c r="C13" s="16" t="n">
        <x:v>46217.75747685185</x:v>
      </x:c>
      <x:c r="D13" s="16" t="str"/>
      <x:c r="E13" s="10" t="str">
        <x:v>nadeen_tantash</x:v>
      </x:c>
      <x:c r="F13" s="19" t="str">
        <x:v>@horse_creature why? i wish my name was cool like squid 🦑</x:v>
      </x:c>
      <x:c r="G13" s="10" t="n">
        <x:v>2</x:v>
      </x:c>
      <x:c r="H13" s="19" t="str">
        <x:v>https://www.instagram.com/p/DayFOjpuV-J/</x:v>
      </x:c>
      <x:c r="I13" s="19" t="str"/>
      <x:c r="J13" s="19" t="str">
        <x:v>No</x:v>
      </x:c>
      <x:c r="K13" s="19" t="str">
        <x:v>Not AA relevant</x:v>
      </x:c>
      <x:c r="L13" s="19" t="str">
        <x:v>Outside-period test</x:v>
      </x:c>
      <x:c r="M13" s="19" t="str">
        <x:v>No</x:v>
      </x:c>
      <x:c r="N13" s="22" t="str">
        <x:v>July validation pull; retained for actor QA only and excluded from June analysis.</x:v>
      </x:c>
    </x:row>
    <x:row r="14">
      <x:c r="A14" s="9" t="str">
        <x:v>Instagram</x:v>
      </x:c>
      <x:c r="B14" s="16"/>
      <x:c r="C14" s="16" t="n">
        <x:v>46217.75980324074</x:v>
      </x:c>
      <x:c r="D14" s="16" t="str"/>
      <x:c r="E14" s="10" t="str">
        <x:v>squidspelman</x:v>
      </x:c>
      <x:c r="F14" s="19" t="str">
        <x:v>@nadeen_tantash it’s my name!! Not by birth but it’s what everyone calls me 🥰🥰🥰🦑🤗</x:v>
      </x:c>
      <x:c r="G14" s="10" t="n">
        <x:v>13</x:v>
      </x:c>
      <x:c r="H14" s="19" t="str">
        <x:v>https://www.instagram.com/p/DayFOjpuV-J/</x:v>
      </x:c>
      <x:c r="I14" s="19" t="str"/>
      <x:c r="J14" s="19" t="str">
        <x:v>No</x:v>
      </x:c>
      <x:c r="K14" s="19" t="str">
        <x:v>Not AA relevant</x:v>
      </x:c>
      <x:c r="L14" s="19" t="str">
        <x:v>Outside-period test</x:v>
      </x:c>
      <x:c r="M14" s="19" t="str">
        <x:v>No</x:v>
      </x:c>
      <x:c r="N14" s="22" t="str">
        <x:v>July validation pull; retained for actor QA only and excluded from June analysis.</x:v>
      </x:c>
    </x:row>
    <x:row r="15">
      <x:c r="A15" s="9" t="str">
        <x:v>Instagram</x:v>
      </x:c>
      <x:c r="B15" s="16"/>
      <x:c r="C15" s="16" t="n">
        <x:v>46217.76032407407</x:v>
      </x:c>
      <x:c r="D15" s="16" t="str"/>
      <x:c r="E15" s="10" t="str">
        <x:v>nadeen_tantash</x:v>
      </x:c>
      <x:c r="F15" s="19" t="str">
        <x:v>@squidspelman i love it!</x:v>
      </x:c>
      <x:c r="G15" s="10" t="n">
        <x:v>1</x:v>
      </x:c>
      <x:c r="H15" s="19" t="str">
        <x:v>https://www.instagram.com/p/DayFOjpuV-J/</x:v>
      </x:c>
      <x:c r="I15" s="19" t="str"/>
      <x:c r="J15" s="19" t="str">
        <x:v>No</x:v>
      </x:c>
      <x:c r="K15" s="19" t="str">
        <x:v>Not AA relevant</x:v>
      </x:c>
      <x:c r="L15" s="19" t="str">
        <x:v>Outside-period test</x:v>
      </x:c>
      <x:c r="M15" s="19" t="str">
        <x:v>No</x:v>
      </x:c>
      <x:c r="N15" s="22" t="str">
        <x:v>July validation pull; retained for actor QA only and excluded from June analysis.</x:v>
      </x:c>
    </x:row>
    <x:row r="16">
      <x:c r="A16" s="12" t="str">
        <x:v>Instagram</x:v>
      </x:c>
      <x:c r="B16" s="17"/>
      <x:c r="C16" s="17" t="n">
        <x:v>46217.76138888889</x:v>
      </x:c>
      <x:c r="D16" s="17" t="str"/>
      <x:c r="E16" s="13" t="str">
        <x:v>squidspelman</x:v>
      </x:c>
      <x:c r="F16" s="20" t="str">
        <x:v>@nadeen_tantash thank youuuuuu 🤗🤗so happy you’re here!!!</x:v>
      </x:c>
      <x:c r="G16" s="13" t="n">
        <x:v>1</x:v>
      </x:c>
      <x:c r="H16" s="20" t="str">
        <x:v>https://www.instagram.com/p/DayFOjpuV-J/</x:v>
      </x:c>
      <x:c r="I16" s="20" t="str"/>
      <x:c r="J16" s="20" t="str">
        <x:v>No</x:v>
      </x:c>
      <x:c r="K16" s="20" t="str">
        <x:v>Not AA relevant</x:v>
      </x:c>
      <x:c r="L16" s="20" t="str">
        <x:v>Outside-period test</x:v>
      </x:c>
      <x:c r="M16" s="20" t="str">
        <x:v>No</x:v>
      </x:c>
      <x:c r="N16" s="23" t="str">
        <x:v>July validation pull; retained for actor QA only and excluded from June analysis.</x:v>
      </x:c>
    </x:row>
  </x:sheetData>
  <x:conditionalFormatting sqref="J2:J16">
    <x:cfRule type="containsText" dxfId="20" priority="1" operator="containsText" text="Yes"/>
    <x:cfRule type="containsText" dxfId="21" priority="2" operator="containsText" text="No"/>
  </x:conditionalFormatting>
  <x:pageMargins left="0.7" right="0.7" top="0.75" bottom="0.75" header="0.3" footer="0.3"/>
  <x:tableParts count="1">
    <x:tablePart xmlns:r="http://schemas.openxmlformats.org/officeDocument/2006/relationships" r:id="R4774b408c7d6445d"/>
  </x:tableParts>
</x:worksheet>
</file>

<file path=xl/worksheets/sheet7.xml><?xml version="1.0" encoding="utf-8"?>
<x:worksheet xmlns:x="http://schemas.openxmlformats.org/spreadsheetml/2006/main">
  <x:sheetViews>
    <x:sheetView showGridLines="0" workbookViewId="0"/>
  </x:sheetViews>
  <x:sheetFormatPr defaultRowHeight="15"/>
  <x:cols>
    <x:col min="1" max="1" width="30" hidden="0" customWidth="1"/>
    <x:col min="2" max="2" width="22" hidden="0" customWidth="1"/>
    <x:col min="3" max="3" width="18" hidden="0" customWidth="1"/>
    <x:col min="4" max="4" width="66" hidden="0" customWidth="1"/>
    <x:col min="5" max="5" width="34" hidden="0" customWidth="1"/>
  </x:cols>
  <x:sheetData>
    <x:row r="1" ht="34" customHeight="1">
      <x:c r="A1" s="4" t="str">
        <x:v>Term</x:v>
      </x:c>
      <x:c r="B1" s="4" t="str">
        <x:v>Type</x:v>
      </x:c>
      <x:c r="C1" s="4" t="str">
        <x:v>Signal Strength</x:v>
      </x:c>
      <x:c r="D1" s="4" t="str">
        <x:v>Validation Rule</x:v>
      </x:c>
      <x:c r="E1" s="4" t="str">
        <x:v>Current Status</x:v>
      </x:c>
    </x:row>
    <x:row r="2">
      <x:c r="A2" s="6" t="str">
        <x:v>American Apparel</x:v>
      </x:c>
      <x:c r="B2" s="7" t="str">
        <x:v>Brand phrase</x:v>
      </x:c>
      <x:c r="C2" s="7" t="str">
        <x:v>High</x:v>
      </x:c>
      <x:c r="D2" s="33" t="str">
        <x:v>Exact phrase; include post text, hashtags, OCR/ASR, and comments</x:v>
      </x:c>
      <x:c r="E2" s="21" t="str">
        <x:v>Validated</x:v>
      </x:c>
    </x:row>
    <x:row r="3">
      <x:c r="A3" s="9" t="str">
        <x:v>@americanapparel</x:v>
      </x:c>
      <x:c r="B3" s="10" t="str">
        <x:v>Account mention/tag</x:v>
      </x:c>
      <x:c r="C3" s="10" t="str">
        <x:v>High</x:v>
      </x:c>
      <x:c r="D3" s="34" t="str">
        <x:v>Collect mention and tagged-post discovery separately</x:v>
      </x:c>
      <x:c r="E3" s="22" t="str">
        <x:v>Validated on Instagram</x:v>
      </x:c>
    </x:row>
    <x:row r="4">
      <x:c r="A4" s="9" t="str">
        <x:v>#americanapparel</x:v>
      </x:c>
      <x:c r="B4" s="10" t="str">
        <x:v>Hashtag</x:v>
      </x:c>
      <x:c r="C4" s="10" t="str">
        <x:v>High but noisy</x:v>
      </x:c>
      <x:c r="D4" s="34" t="str">
        <x:v>Exclude design-sale spam and generic phrase uses</x:v>
      </x:c>
      <x:c r="E4" s="22" t="str">
        <x:v>Validated on both platforms</x:v>
      </x:c>
    </x:row>
    <x:row r="5">
      <x:c r="A5" s="9" t="str">
        <x:v>#americanapparelusa</x:v>
      </x:c>
      <x:c r="B5" s="10" t="str">
        <x:v>Hashtag</x:v>
      </x:c>
      <x:c r="C5" s="10" t="str">
        <x:v>Medium</x:v>
      </x:c>
      <x:c r="D5" s="34" t="str">
        <x:v>Use as supplement; deduplicate against main hashtag</x:v>
      </x:c>
      <x:c r="E5" s="22" t="str">
        <x:v>Validated on TikTok</x:v>
      </x:c>
    </x:row>
    <x:row r="6">
      <x:c r="A6" s="9" t="str">
        <x:v>American Apparel 1301</x:v>
      </x:c>
      <x:c r="B6" s="10" t="str">
        <x:v>Product phrase</x:v>
      </x:c>
      <x:c r="C6" s="10" t="str">
        <x:v>High</x:v>
      </x:c>
      <x:c r="D6" s="34" t="str">
        <x:v>Exact phrase</x:v>
      </x:c>
      <x:c r="E6" s="22" t="str">
        <x:v>Use in deeper run</x:v>
      </x:c>
    </x:row>
    <x:row r="7">
      <x:c r="A7" s="9" t="str">
        <x:v>1301</x:v>
      </x:c>
      <x:c r="B7" s="10" t="str">
        <x:v>Product code</x:v>
      </x:c>
      <x:c r="C7" s="10" t="str">
        <x:v>Medium</x:v>
      </x:c>
      <x:c r="D7" s="34" t="str">
        <x:v>Require AA, blank, tee, Gildan, or apparel context</x:v>
      </x:c>
      <x:c r="E7" s="22" t="str">
        <x:v>3 IG posts found in core data</x:v>
      </x:c>
    </x:row>
    <x:row r="8">
      <x:c r="A8" s="9" t="str">
        <x:v>#AA1301</x:v>
      </x:c>
      <x:c r="B8" s="10" t="str">
        <x:v>Product hashtag</x:v>
      </x:c>
      <x:c r="C8" s="10" t="str">
        <x:v>High</x:v>
      </x:c>
      <x:c r="D8" s="34" t="str">
        <x:v>Exact hashtag</x:v>
      </x:c>
      <x:c r="E8" s="22" t="str">
        <x:v>Use in deeper run</x:v>
      </x:c>
    </x:row>
    <x:row r="9">
      <x:c r="A9" s="9" t="str">
        <x:v>California Classic</x:v>
      </x:c>
      <x:c r="B9" s="10" t="str">
        <x:v>Product name</x:v>
      </x:c>
      <x:c r="C9" s="10" t="str">
        <x:v>High</x:v>
      </x:c>
      <x:c r="D9" s="34" t="str">
        <x:v>Require apparel context</x:v>
      </x:c>
      <x:c r="E9" s="22" t="str">
        <x:v>Use in deeper run</x:v>
      </x:c>
    </x:row>
    <x:row r="10">
      <x:c r="A10" s="9" t="str">
        <x:v>307GD</x:v>
      </x:c>
      <x:c r="B10" s="10" t="str">
        <x:v>Product code</x:v>
      </x:c>
      <x:c r="C10" s="10" t="str">
        <x:v>High</x:v>
      </x:c>
      <x:c r="D10" s="34" t="str">
        <x:v>Exact code or #307gd</x:v>
      </x:c>
      <x:c r="E10" s="22" t="str">
        <x:v>No core hits; deepen later</x:v>
      </x:c>
    </x:row>
    <x:row r="11">
      <x:c r="A11" s="9" t="str">
        <x:v>muscle tee</x:v>
      </x:c>
      <x:c r="B11" s="10" t="str">
        <x:v>Style phrase</x:v>
      </x:c>
      <x:c r="C11" s="10" t="str">
        <x:v>Medium</x:v>
      </x:c>
      <x:c r="D11" s="34" t="str">
        <x:v>Require American Apparel or 307GD context</x:v>
      </x:c>
      <x:c r="E11" s="22" t="str">
        <x:v>No core hits; deepen later</x:v>
      </x:c>
    </x:row>
    <x:row r="12">
      <x:c r="A12" s="9" t="str">
        <x:v>Fine Jersey</x:v>
      </x:c>
      <x:c r="B12" s="10" t="str">
        <x:v>Style phrase</x:v>
      </x:c>
      <x:c r="C12" s="10" t="str">
        <x:v>High</x:v>
      </x:c>
      <x:c r="D12" s="34" t="str">
        <x:v>Require AA context</x:v>
      </x:c>
      <x:c r="E12" s="22" t="str">
        <x:v>Found in IG data</x:v>
      </x:c>
    </x:row>
    <x:row r="13">
      <x:c r="A13" s="9" t="str">
        <x:v>disco pants / riding pants</x:v>
      </x:c>
      <x:c r="B13" s="10" t="str">
        <x:v>Legacy style</x:v>
      </x:c>
      <x:c r="C13" s="10" t="str">
        <x:v>High</x:v>
      </x:c>
      <x:c r="D13" s="34" t="str">
        <x:v>Track nostalgia and LAA confusion separately</x:v>
      </x:c>
      <x:c r="E13" s="22" t="str">
        <x:v>Found on TikTok</x:v>
      </x:c>
    </x:row>
    <x:row r="14">
      <x:c r="A14" s="12" t="str">
        <x:v>Los Angeles Apparel / LAA</x:v>
      </x:c>
      <x:c r="B14" s="13" t="str">
        <x:v>Confusion / comparison</x:v>
      </x:c>
      <x:c r="C14" s="13" t="str">
        <x:v>Separate</x:v>
      </x:c>
      <x:c r="D14" s="35" t="str">
        <x:v>Do not automatically count as American Apparel</x:v>
      </x:c>
      <x:c r="E14" s="23" t="str">
        <x:v>Validated confusion signal</x:v>
      </x:c>
    </x:row>
  </x:sheetData>
  <x:pageMargins left="0.7" right="0.7" top="0.75" bottom="0.75" header="0.3" footer="0.3"/>
  <x:tableParts count="1">
    <x:tablePart xmlns:r="http://schemas.openxmlformats.org/officeDocument/2006/relationships" r:id="R49fc2c20ee234a1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28" hidden="0" customWidth="1"/>
    <x:col min="2" max="2" width="35" hidden="0" customWidth="1"/>
    <x:col min="3" max="3" width="78" hidden="0" customWidth="1"/>
    <x:col min="4" max="4" width="12" hidden="0" customWidth="1"/>
    <x:col min="5" max="5" width="12" hidden="0" customWidth="1"/>
    <x:col min="6" max="6" width="12" hidden="0" customWidth="1"/>
  </x:cols>
  <x:sheetData>
    <x:row r="1" ht="30" customHeight="1">
      <x:c r="A1" s="51" t="str">
        <x:v>American Apparel listening method — relevance gate and comment sampling</x:v>
      </x:c>
      <x:c r="B1" s="52"/>
      <x:c r="C1" s="52"/>
      <x:c r="D1" s="52"/>
      <x:c r="E1" s="52"/>
      <x:c r="F1" s="53"/>
    </x:row>
    <x:row r="2" ht="30" customHeight="1">
      <x:c r="A2" s="54"/>
      <x:c r="B2" s="55"/>
      <x:c r="C2" s="55"/>
      <x:c r="D2" s="55"/>
      <x:c r="E2" s="55"/>
      <x:c r="F2" s="56"/>
    </x:row>
    <x:row r="3">
      <x:c r="A3" s="57"/>
      <x:c r="B3" s="58"/>
      <x:c r="C3" s="58"/>
      <x:c r="D3" s="58"/>
      <x:c r="E3" s="58"/>
      <x:c r="F3" s="59"/>
    </x:row>
    <x:row r="4">
      <x:c r="A4" s="60" t="str">
        <x:v>Purpose: validate discovery and comment actors, then prevent expensive or misleading comment pulls by screening every post before scraping its conversation.</x:v>
      </x:c>
      <x:c r="B4" s="61"/>
      <x:c r="C4" s="61"/>
      <x:c r="D4" s="61"/>
      <x:c r="E4" s="61"/>
      <x:c r="F4" s="62"/>
    </x:row>
    <x:row r="5">
      <x:c r="A5" s="60"/>
      <x:c r="B5" s="61"/>
      <x:c r="C5" s="61"/>
      <x:c r="D5" s="61"/>
      <x:c r="E5" s="61"/>
      <x:c r="F5" s="62"/>
    </x:row>
    <x:row r="6">
      <x:c r="A6" s="57"/>
      <x:c r="B6" s="58"/>
      <x:c r="C6" s="58"/>
      <x:c r="D6" s="58"/>
      <x:c r="E6" s="58"/>
      <x:c r="F6" s="59"/>
    </x:row>
    <x:row r="7">
      <x:c r="A7" s="63" t="str">
        <x:v>Recommended gate sequence</x:v>
      </x:c>
      <x:c r="B7" s="64"/>
      <x:c r="C7" s="64"/>
      <x:c r="D7" s="64"/>
      <x:c r="E7" s="64"/>
      <x:c r="F7" s="65"/>
    </x:row>
    <x:row r="8">
      <x:c r="A8" s="66" t="n">
        <x:v>1</x:v>
      </x:c>
      <x:c r="B8" s="67" t="str">
        <x:v>Deterministic exclusions</x:v>
      </x:c>
      <x:c r="C8" s="68" t="str">
        <x:v>Remove design-sale spam, obvious giveaways/promotions, duplicate posts, and generic uses of ‘American apparel’.</x:v>
      </x:c>
      <x:c r="D8" s="58"/>
      <x:c r="E8" s="58"/>
      <x:c r="F8" s="59"/>
    </x:row>
    <x:row r="9">
      <x:c r="A9" s="66" t="n">
        <x:v>2</x:v>
      </x:c>
      <x:c r="B9" s="67" t="str">
        <x:v>LLM post inspection</x:v>
      </x:c>
      <x:c r="C9" s="68" t="str">
        <x:v>Review caption, hashtags, account, post type, style terms, comment count, and available OCR/ASR. Return structured JSON.</x:v>
      </x:c>
      <x:c r="D9" s="58"/>
      <x:c r="E9" s="58"/>
      <x:c r="F9" s="59"/>
    </x:row>
    <x:row r="10">
      <x:c r="A10" s="66" t="n">
        <x:v>3</x:v>
      </x:c>
      <x:c r="B10" s="67" t="str">
        <x:v>Initial comment sample</x:v>
      </x:c>
      <x:c r="C10" s="68" t="str">
        <x:v>For a high-value post, pull up to 30 comments first. Avoid immediately paying for every comment on a viral post.</x:v>
      </x:c>
      <x:c r="D10" s="58"/>
      <x:c r="E10" s="58"/>
      <x:c r="F10" s="59"/>
    </x:row>
    <x:row r="11">
      <x:c r="A11" s="66" t="n">
        <x:v>4</x:v>
      </x:c>
      <x:c r="B11" s="67" t="str">
        <x:v>LLM comment coding</x:v>
      </x:c>
      <x:c r="C11" s="68" t="str">
        <x:v>Code relevance, theme, sentiment, style/product, and back/dead/unaware signal. Keep evidence and confidence.</x:v>
      </x:c>
      <x:c r="D11" s="58"/>
      <x:c r="E11" s="58"/>
      <x:c r="F11" s="59"/>
    </x:row>
    <x:row r="12">
      <x:c r="A12" s="66" t="n">
        <x:v>5</x:v>
      </x:c>
      <x:c r="B12" s="67" t="str">
        <x:v>Conditional deepen</x:v>
      </x:c>
      <x:c r="C12" s="68" t="str">
        <x:v>Pull more comments only when the initial sample contains meaningful AA discussion or the post is strategically important.</x:v>
      </x:c>
      <x:c r="D12" s="58"/>
      <x:c r="E12" s="58"/>
      <x:c r="F12" s="59"/>
    </x:row>
    <x:row r="13">
      <x:c r="A13" s="57"/>
      <x:c r="B13" s="58"/>
      <x:c r="C13" s="58"/>
      <x:c r="D13" s="58"/>
      <x:c r="E13" s="58"/>
      <x:c r="F13" s="59"/>
    </x:row>
    <x:row r="14">
      <x:c r="A14" s="63" t="str">
        <x:v>LLM output schema</x:v>
      </x:c>
      <x:c r="B14" s="64"/>
      <x:c r="C14" s="64"/>
      <x:c r="D14" s="64"/>
      <x:c r="E14" s="64"/>
      <x:c r="F14" s="65"/>
    </x:row>
    <x:row r="15">
      <x:c r="A15" s="69" t="str">
        <x:v>post_relevance</x:v>
      </x:c>
      <x:c r="B15" s="58" t="str">
        <x:v>high | medium | low</x:v>
      </x:c>
      <x:c r="C15" s="68" t="str">
        <x:v>Is American Apparel or an AA style actually the subject?</x:v>
      </x:c>
      <x:c r="D15" s="58"/>
      <x:c r="E15" s="58"/>
      <x:c r="F15" s="59"/>
    </x:row>
    <x:row r="16">
      <x:c r="A16" s="69" t="str">
        <x:v>content_role</x:v>
      </x:c>
      <x:c r="B16" s="58" t="str">
        <x:v>brand_focus | product_focus | incidental | giveaway | design_spam | generic_phrase</x:v>
      </x:c>
      <x:c r="C16" s="68" t="str">
        <x:v>Separates organic conversation from noise.</x:v>
      </x:c>
      <x:c r="D16" s="58"/>
      <x:c r="E16" s="58"/>
      <x:c r="F16" s="59"/>
    </x:row>
    <x:row r="17">
      <x:c r="A17" s="69" t="str">
        <x:v>style_matches</x:v>
      </x:c>
      <x:c r="B17" s="58" t="str">
        <x:v>array</x:v>
      </x:c>
      <x:c r="C17" s="68" t="str">
        <x:v>Examples: 1301, 307GD, muscle tee, Fine Jersey, disco pants.</x:v>
      </x:c>
      <x:c r="D17" s="58"/>
      <x:c r="E17" s="58"/>
      <x:c r="F17" s="59"/>
    </x:row>
    <x:row r="18">
      <x:c r="A18" s="69" t="str">
        <x:v>target_signal</x:v>
      </x:c>
      <x:c r="B18" s="58" t="str">
        <x:v>back | dead | unaware_still_exists | nostalgia_only | none</x:v>
      </x:c>
      <x:c r="C18" s="68" t="str">
        <x:v>Directly supports the final percentage requested.</x:v>
      </x:c>
      <x:c r="D18" s="58"/>
      <x:c r="E18" s="58"/>
      <x:c r="F18" s="59"/>
    </x:row>
    <x:row r="19">
      <x:c r="A19" s="69" t="str">
        <x:v>comment_value</x:v>
      </x:c>
      <x:c r="B19" s="58" t="str">
        <x:v>high | medium | low</x:v>
      </x:c>
      <x:c r="C19" s="68" t="str">
        <x:v>How likely comments are to contain meaningful AA conversation.</x:v>
      </x:c>
      <x:c r="D19" s="58"/>
      <x:c r="E19" s="58"/>
      <x:c r="F19" s="59"/>
    </x:row>
    <x:row r="20">
      <x:c r="A20" s="69" t="str">
        <x:v>action</x:v>
      </x:c>
      <x:c r="B20" s="58" t="str">
        <x:v>scrape_30 | scrape_100 | skip | human_review</x:v>
      </x:c>
      <x:c r="C20" s="68" t="str">
        <x:v>Budget-controlled next action.</x:v>
      </x:c>
      <x:c r="D20" s="58"/>
      <x:c r="E20" s="58"/>
      <x:c r="F20" s="59"/>
    </x:row>
    <x:row r="21">
      <x:c r="A21" s="69" t="str">
        <x:v>confidence</x:v>
      </x:c>
      <x:c r="B21" s="58" t="str">
        <x:v>0–1</x:v>
      </x:c>
      <x:c r="C21" s="68" t="str">
        <x:v>Route low-confidence items to the human review column.</x:v>
      </x:c>
      <x:c r="D21" s="58"/>
      <x:c r="E21" s="58"/>
      <x:c r="F21" s="59"/>
    </x:row>
    <x:row r="22">
      <x:c r="A22" s="69" t="str">
        <x:v>reason</x:v>
      </x:c>
      <x:c r="B22" s="58" t="str">
        <x:v>short text</x:v>
      </x:c>
      <x:c r="C22" s="68" t="str">
        <x:v>Auditable explanation.</x:v>
      </x:c>
      <x:c r="D22" s="58"/>
      <x:c r="E22" s="58"/>
      <x:c r="F22" s="59"/>
    </x:row>
    <x:row r="23">
      <x:c r="A23" s="57"/>
      <x:c r="B23" s="58"/>
      <x:c r="C23" s="58"/>
      <x:c r="D23" s="58"/>
      <x:c r="E23" s="58"/>
      <x:c r="F23" s="59"/>
    </x:row>
    <x:row r="24">
      <x:c r="A24" s="63" t="str">
        <x:v>Key assumptions and denominator rules</x:v>
      </x:c>
      <x:c r="B24" s="64"/>
      <x:c r="C24" s="64"/>
      <x:c r="D24" s="64"/>
      <x:c r="E24" s="64"/>
      <x:c r="F24" s="65"/>
    </x:row>
    <x:row r="25">
      <x:c r="A25" s="69" t="str">
        <x:v>Analysis month</x:v>
      </x:c>
      <x:c r="B25" s="70" t="str">
        <x:v>June 2026</x:v>
      </x:c>
      <x:c r="C25" s="68" t="str">
        <x:v>Current files cover only part of Instagram’s month and algorithmic TikTok results.</x:v>
      </x:c>
      <x:c r="D25" s="58"/>
      <x:c r="E25" s="58"/>
      <x:c r="F25" s="59"/>
    </x:row>
    <x:row r="26">
      <x:c r="A26" s="69" t="str">
        <x:v>High-comment threshold</x:v>
      </x:c>
      <x:c r="B26" s="70" t="n">
        <x:v>20</x:v>
      </x:c>
      <x:c r="C26" s="68" t="str">
        <x:v>Posts at or above this threshold receive LLM inspection before comment spend.</x:v>
      </x:c>
      <x:c r="D26" s="58"/>
      <x:c r="E26" s="58"/>
      <x:c r="F26" s="59"/>
    </x:row>
    <x:row r="27">
      <x:c r="A27" s="69" t="str">
        <x:v>Initial comment cap</x:v>
      </x:c>
      <x:c r="B27" s="70" t="n">
        <x:v>30</x:v>
      </x:c>
      <x:c r="C27" s="68" t="str">
        <x:v>Sample first, then deepen only if relevant.</x:v>
      </x:c>
      <x:c r="D27" s="58"/>
      <x:c r="E27" s="58"/>
      <x:c r="F27" s="59"/>
    </x:row>
    <x:row r="28">
      <x:c r="A28" s="69" t="str">
        <x:v>Approx. IG comment actor rate</x:v>
      </x:c>
      <x:c r="B28" s="71" t="n">
        <x:v>0.0023</x:v>
      </x:c>
      <x:c r="C28" s="68" t="str">
        <x:v>USD per comment observed in validation; verify before the production run.</x:v>
      </x:c>
      <x:c r="D28" s="58"/>
      <x:c r="E28" s="58"/>
      <x:c r="F28" s="59"/>
    </x:row>
    <x:row r="29">
      <x:c r="A29" s="69" t="str">
        <x:v>Organic denominator</x:v>
      </x:c>
      <x:c r="B29" s="70" t="str">
        <x:v>Relevant, deduplicated organic AA comments</x:v>
      </x:c>
      <x:c r="C29" s="68" t="str">
        <x:v>Exclude design spam, entry-mechanic giveaway comments, generic phrase uses, and out-of-period comments.</x:v>
      </x:c>
      <x:c r="D29" s="58"/>
      <x:c r="E29" s="58"/>
      <x:c r="F29" s="59"/>
    </x:row>
    <x:row r="30">
      <x:c r="A30" s="69" t="str">
        <x:v>Target numerator</x:v>
      </x:c>
      <x:c r="B30" s="70" t="str">
        <x:v>Comments coded back/dead/unaware_still_exists</x:v>
      </x:c>
      <x:c r="C30" s="68" t="str">
        <x:v>Report comment-level and post-level percentages separately.</x:v>
      </x:c>
      <x:c r="D30" s="58"/>
      <x:c r="E30" s="58"/>
      <x:c r="F30" s="59"/>
    </x:row>
    <x:row r="31">
      <x:c r="A31" s="72" t="str">
        <x:v>Current percentage status</x:v>
      </x:c>
      <x:c r="B31" s="73" t="str">
        <x:v>Not reportable</x:v>
      </x:c>
      <x:c r="C31" s="74" t="str">
        <x:v>Only five June TikTok comments were pulled; none are a representative month-wide sample.</x:v>
      </x:c>
      <x:c r="D31" s="75"/>
      <x:c r="E31" s="75"/>
      <x:c r="F31" s="76"/>
    </x:row>
  </x:sheetData>
  <x:mergeCells>
    <x:mergeCell ref="A1:F2"/>
    <x:mergeCell ref="A4:F5"/>
    <x:mergeCell ref="A7:F7"/>
    <x:mergeCell ref="A14:F14"/>
    <x:mergeCell ref="A24:F24"/>
  </x:mergeCells>
  <x:pageMargins left="0.7" right="0.7" top="0.75" bottom="0.75" header="0.3" footer="0.3"/>
</x:worksheet>
</file>